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hutton-my.sharepoint.com/personal/jan_hewitt_huttonltd_com/Documents/Lipids/"/>
    </mc:Choice>
  </mc:AlternateContent>
  <xr:revisionPtr revIDLastSave="45" documentId="11_BBC2DAFE237F1BD63AFDBA8B3E1FFC7652452351" xr6:coauthVersionLast="47" xr6:coauthVersionMax="47" xr10:uidLastSave="{E2BD625E-3353-49D8-BB2C-970AA4DD0FD4}"/>
  <bookViews>
    <workbookView xWindow="57480" yWindow="-75" windowWidth="29040" windowHeight="15720" tabRatio="500" xr2:uid="{00000000-000D-0000-FFFF-FFFF00000000}"/>
  </bookViews>
  <sheets>
    <sheet name="Content Map" sheetId="1" r:id="rId1"/>
    <sheet name="Summary" sheetId="2" r:id="rId2"/>
    <sheet name="Guide" sheetId="3" r:id="rId3"/>
    <sheet name="GSC" sheetId="4" r:id="rId4"/>
    <sheet name="GA4" sheetId="5" r:id="rId5"/>
  </sheets>
  <definedNames>
    <definedName name="_xlnm._FilterDatabase" localSheetId="0" hidden="1">'Content Map'!$A$1:$N$150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41" i="2" l="1"/>
  <c r="B40" i="2"/>
  <c r="B38" i="2"/>
  <c r="B37" i="2"/>
  <c r="B36" i="2"/>
  <c r="B35" i="2"/>
  <c r="B34" i="2"/>
  <c r="B5" i="2"/>
  <c r="B4" i="2"/>
  <c r="C37" i="2" s="1"/>
  <c r="I150" i="1"/>
  <c r="H150" i="1"/>
  <c r="F150" i="1"/>
  <c r="I149" i="1"/>
  <c r="H149" i="1"/>
  <c r="F149" i="1"/>
  <c r="I148" i="1"/>
  <c r="H148" i="1"/>
  <c r="F148" i="1"/>
  <c r="I147" i="1"/>
  <c r="H147" i="1"/>
  <c r="F147" i="1"/>
  <c r="I146" i="1"/>
  <c r="H146" i="1"/>
  <c r="F146" i="1"/>
  <c r="I145" i="1"/>
  <c r="H145" i="1"/>
  <c r="F145" i="1"/>
  <c r="I144" i="1"/>
  <c r="H144" i="1"/>
  <c r="F144" i="1"/>
  <c r="I143" i="1"/>
  <c r="H143" i="1"/>
  <c r="F143" i="1"/>
  <c r="I142" i="1"/>
  <c r="H142" i="1"/>
  <c r="F142" i="1"/>
  <c r="I141" i="1"/>
  <c r="H141" i="1"/>
  <c r="F141" i="1"/>
  <c r="I140" i="1"/>
  <c r="H140" i="1"/>
  <c r="F140" i="1"/>
  <c r="I139" i="1"/>
  <c r="H139" i="1"/>
  <c r="F139" i="1"/>
  <c r="I138" i="1"/>
  <c r="H138" i="1"/>
  <c r="F138" i="1"/>
  <c r="I137" i="1"/>
  <c r="H137" i="1"/>
  <c r="F137" i="1"/>
  <c r="I136" i="1"/>
  <c r="H136" i="1"/>
  <c r="F136" i="1"/>
  <c r="I135" i="1"/>
  <c r="H135" i="1"/>
  <c r="F135" i="1"/>
  <c r="I134" i="1"/>
  <c r="H134" i="1"/>
  <c r="F134" i="1"/>
  <c r="I133" i="1"/>
  <c r="H133" i="1"/>
  <c r="F133" i="1"/>
  <c r="I132" i="1"/>
  <c r="H132" i="1"/>
  <c r="F132" i="1"/>
  <c r="I131" i="1"/>
  <c r="H131" i="1"/>
  <c r="F131" i="1"/>
  <c r="I130" i="1"/>
  <c r="H130" i="1"/>
  <c r="F130" i="1"/>
  <c r="I129" i="1"/>
  <c r="H129" i="1"/>
  <c r="F129" i="1"/>
  <c r="I128" i="1"/>
  <c r="H128" i="1"/>
  <c r="F128" i="1"/>
  <c r="I127" i="1"/>
  <c r="H127" i="1"/>
  <c r="F127" i="1"/>
  <c r="I126" i="1"/>
  <c r="H126" i="1"/>
  <c r="F126" i="1"/>
  <c r="I125" i="1"/>
  <c r="H125" i="1"/>
  <c r="F125" i="1"/>
  <c r="I124" i="1"/>
  <c r="H124" i="1"/>
  <c r="F124" i="1"/>
  <c r="I123" i="1"/>
  <c r="H123" i="1"/>
  <c r="F123" i="1"/>
  <c r="I122" i="1"/>
  <c r="H122" i="1"/>
  <c r="F122" i="1"/>
  <c r="I121" i="1"/>
  <c r="H121" i="1"/>
  <c r="F121" i="1"/>
  <c r="I120" i="1"/>
  <c r="H120" i="1"/>
  <c r="F120" i="1"/>
  <c r="I119" i="1"/>
  <c r="H119" i="1"/>
  <c r="F119" i="1"/>
  <c r="I118" i="1"/>
  <c r="H118" i="1"/>
  <c r="F118" i="1"/>
  <c r="C29" i="2" s="1"/>
  <c r="I117" i="1"/>
  <c r="H117" i="1"/>
  <c r="F117" i="1"/>
  <c r="I116" i="1"/>
  <c r="H116" i="1"/>
  <c r="F116" i="1"/>
  <c r="I115" i="1"/>
  <c r="H115" i="1"/>
  <c r="F115" i="1"/>
  <c r="I114" i="1"/>
  <c r="H114" i="1"/>
  <c r="F114" i="1"/>
  <c r="I113" i="1"/>
  <c r="H113" i="1"/>
  <c r="F113" i="1"/>
  <c r="I112" i="1"/>
  <c r="H112" i="1"/>
  <c r="F112" i="1"/>
  <c r="I111" i="1"/>
  <c r="H111" i="1"/>
  <c r="F111" i="1"/>
  <c r="I110" i="1"/>
  <c r="H110" i="1"/>
  <c r="F110" i="1"/>
  <c r="I109" i="1"/>
  <c r="H109" i="1"/>
  <c r="F109" i="1"/>
  <c r="I108" i="1"/>
  <c r="H108" i="1"/>
  <c r="F108" i="1"/>
  <c r="I107" i="1"/>
  <c r="H107" i="1"/>
  <c r="F107" i="1"/>
  <c r="F28" i="2" s="1"/>
  <c r="I106" i="1"/>
  <c r="H106" i="1"/>
  <c r="F106" i="1"/>
  <c r="I105" i="1"/>
  <c r="H105" i="1"/>
  <c r="F105" i="1"/>
  <c r="I104" i="1"/>
  <c r="H104" i="1"/>
  <c r="F104" i="1"/>
  <c r="I103" i="1"/>
  <c r="H103" i="1"/>
  <c r="F103" i="1"/>
  <c r="I102" i="1"/>
  <c r="H102" i="1"/>
  <c r="F102" i="1"/>
  <c r="I101" i="1"/>
  <c r="H101" i="1"/>
  <c r="F101" i="1"/>
  <c r="E26" i="2" s="1"/>
  <c r="I100" i="1"/>
  <c r="H100" i="1"/>
  <c r="F100" i="1"/>
  <c r="I99" i="1"/>
  <c r="H99" i="1"/>
  <c r="F99" i="1"/>
  <c r="I98" i="1"/>
  <c r="H98" i="1"/>
  <c r="F98" i="1"/>
  <c r="I97" i="1"/>
  <c r="H97" i="1"/>
  <c r="F97" i="1"/>
  <c r="I96" i="1"/>
  <c r="H96" i="1"/>
  <c r="F96" i="1"/>
  <c r="C25" i="2" s="1"/>
  <c r="I95" i="1"/>
  <c r="H95" i="1"/>
  <c r="F95" i="1"/>
  <c r="I94" i="1"/>
  <c r="H94" i="1"/>
  <c r="F94" i="1"/>
  <c r="I93" i="1"/>
  <c r="H93" i="1"/>
  <c r="F93" i="1"/>
  <c r="I92" i="1"/>
  <c r="H92" i="1"/>
  <c r="F92" i="1"/>
  <c r="I91" i="1"/>
  <c r="H91" i="1"/>
  <c r="F91" i="1"/>
  <c r="I90" i="1"/>
  <c r="H90" i="1"/>
  <c r="F90" i="1"/>
  <c r="I89" i="1"/>
  <c r="H89" i="1"/>
  <c r="F89" i="1"/>
  <c r="I88" i="1"/>
  <c r="H88" i="1"/>
  <c r="F88" i="1"/>
  <c r="I87" i="1"/>
  <c r="H87" i="1"/>
  <c r="F87" i="1"/>
  <c r="I86" i="1"/>
  <c r="H86" i="1"/>
  <c r="F86" i="1"/>
  <c r="I85" i="1"/>
  <c r="H85" i="1"/>
  <c r="F85" i="1"/>
  <c r="I84" i="1"/>
  <c r="H84" i="1"/>
  <c r="F84" i="1"/>
  <c r="I83" i="1"/>
  <c r="H83" i="1"/>
  <c r="F83" i="1"/>
  <c r="I82" i="1"/>
  <c r="H82" i="1"/>
  <c r="F82" i="1"/>
  <c r="I81" i="1"/>
  <c r="H81" i="1"/>
  <c r="F81" i="1"/>
  <c r="I80" i="1"/>
  <c r="H80" i="1"/>
  <c r="F80" i="1"/>
  <c r="I79" i="1"/>
  <c r="H79" i="1"/>
  <c r="F79" i="1"/>
  <c r="I78" i="1"/>
  <c r="H78" i="1"/>
  <c r="F78" i="1"/>
  <c r="I77" i="1"/>
  <c r="H77" i="1"/>
  <c r="F77" i="1"/>
  <c r="I76" i="1"/>
  <c r="H76" i="1"/>
  <c r="F76" i="1"/>
  <c r="I75" i="1"/>
  <c r="H75" i="1"/>
  <c r="F75" i="1"/>
  <c r="I74" i="1"/>
  <c r="H74" i="1"/>
  <c r="F74" i="1"/>
  <c r="I73" i="1"/>
  <c r="H73" i="1"/>
  <c r="F73" i="1"/>
  <c r="I72" i="1"/>
  <c r="H72" i="1"/>
  <c r="F72" i="1"/>
  <c r="I71" i="1"/>
  <c r="H71" i="1"/>
  <c r="F71" i="1"/>
  <c r="I70" i="1"/>
  <c r="H70" i="1"/>
  <c r="F70" i="1"/>
  <c r="I69" i="1"/>
  <c r="H69" i="1"/>
  <c r="F69" i="1"/>
  <c r="I68" i="1"/>
  <c r="H68" i="1"/>
  <c r="F68" i="1"/>
  <c r="I67" i="1"/>
  <c r="H67" i="1"/>
  <c r="F67" i="1"/>
  <c r="I66" i="1"/>
  <c r="H66" i="1"/>
  <c r="F66" i="1"/>
  <c r="I65" i="1"/>
  <c r="H65" i="1"/>
  <c r="F65" i="1"/>
  <c r="I64" i="1"/>
  <c r="H64" i="1"/>
  <c r="F64" i="1"/>
  <c r="I63" i="1"/>
  <c r="H63" i="1"/>
  <c r="F63" i="1"/>
  <c r="I62" i="1"/>
  <c r="H62" i="1"/>
  <c r="F62" i="1"/>
  <c r="I61" i="1"/>
  <c r="H61" i="1"/>
  <c r="F61" i="1"/>
  <c r="I60" i="1"/>
  <c r="H60" i="1"/>
  <c r="F60" i="1"/>
  <c r="I59" i="1"/>
  <c r="H59" i="1"/>
  <c r="F59" i="1"/>
  <c r="I58" i="1"/>
  <c r="H58" i="1"/>
  <c r="F58" i="1"/>
  <c r="I57" i="1"/>
  <c r="H57" i="1"/>
  <c r="F57" i="1"/>
  <c r="I56" i="1"/>
  <c r="H56" i="1"/>
  <c r="F56" i="1"/>
  <c r="I55" i="1"/>
  <c r="H55" i="1"/>
  <c r="F55" i="1"/>
  <c r="I54" i="1"/>
  <c r="H54" i="1"/>
  <c r="F54" i="1"/>
  <c r="I53" i="1"/>
  <c r="H53" i="1"/>
  <c r="F53" i="1"/>
  <c r="I52" i="1"/>
  <c r="H52" i="1"/>
  <c r="F52" i="1"/>
  <c r="I51" i="1"/>
  <c r="H51" i="1"/>
  <c r="F51" i="1"/>
  <c r="I50" i="1"/>
  <c r="H50" i="1"/>
  <c r="F50" i="1"/>
  <c r="I49" i="1"/>
  <c r="H49" i="1"/>
  <c r="F49" i="1"/>
  <c r="I48" i="1"/>
  <c r="H48" i="1"/>
  <c r="F48" i="1"/>
  <c r="I47" i="1"/>
  <c r="H47" i="1"/>
  <c r="F47" i="1"/>
  <c r="I46" i="1"/>
  <c r="H46" i="1"/>
  <c r="F46" i="1"/>
  <c r="I45" i="1"/>
  <c r="H45" i="1"/>
  <c r="F45" i="1"/>
  <c r="I44" i="1"/>
  <c r="H44" i="1"/>
  <c r="F44" i="1"/>
  <c r="I43" i="1"/>
  <c r="H43" i="1"/>
  <c r="F43" i="1"/>
  <c r="I42" i="1"/>
  <c r="H42" i="1"/>
  <c r="F42" i="1"/>
  <c r="I41" i="1"/>
  <c r="H41" i="1"/>
  <c r="F41" i="1"/>
  <c r="I40" i="1"/>
  <c r="H40" i="1"/>
  <c r="F40" i="1"/>
  <c r="I39" i="1"/>
  <c r="H39" i="1"/>
  <c r="F39" i="1"/>
  <c r="I38" i="1"/>
  <c r="H38" i="1"/>
  <c r="F38" i="1"/>
  <c r="I37" i="1"/>
  <c r="H37" i="1"/>
  <c r="F37" i="1"/>
  <c r="I36" i="1"/>
  <c r="H36" i="1"/>
  <c r="F36" i="1"/>
  <c r="I35" i="1"/>
  <c r="H35" i="1"/>
  <c r="F35" i="1"/>
  <c r="I34" i="1"/>
  <c r="H34" i="1"/>
  <c r="F34" i="1"/>
  <c r="I33" i="1"/>
  <c r="H33" i="1"/>
  <c r="F33" i="1"/>
  <c r="I32" i="1"/>
  <c r="H32" i="1"/>
  <c r="F32" i="1"/>
  <c r="I31" i="1"/>
  <c r="H31" i="1"/>
  <c r="F31" i="1"/>
  <c r="I30" i="1"/>
  <c r="H30" i="1"/>
  <c r="F30" i="1"/>
  <c r="I29" i="1"/>
  <c r="H29" i="1"/>
  <c r="F29" i="1"/>
  <c r="I28" i="1"/>
  <c r="H28" i="1"/>
  <c r="F28" i="1"/>
  <c r="I27" i="1"/>
  <c r="H27" i="1"/>
  <c r="F27" i="1"/>
  <c r="I26" i="1"/>
  <c r="H26" i="1"/>
  <c r="F26" i="1"/>
  <c r="I25" i="1"/>
  <c r="H25" i="1"/>
  <c r="F25" i="1"/>
  <c r="I24" i="1"/>
  <c r="H24" i="1"/>
  <c r="F24" i="1"/>
  <c r="I23" i="1"/>
  <c r="H23" i="1"/>
  <c r="F23" i="1"/>
  <c r="E22" i="2" s="1"/>
  <c r="I22" i="1"/>
  <c r="H22" i="1"/>
  <c r="F22" i="1"/>
  <c r="I21" i="1"/>
  <c r="H21" i="1"/>
  <c r="F21" i="1"/>
  <c r="C21" i="2" s="1"/>
  <c r="I20" i="1"/>
  <c r="H20" i="1"/>
  <c r="F20" i="1"/>
  <c r="I19" i="1"/>
  <c r="H19" i="1"/>
  <c r="F19" i="1"/>
  <c r="I18" i="1"/>
  <c r="H18" i="1"/>
  <c r="F18" i="1"/>
  <c r="I17" i="1"/>
  <c r="H17" i="1"/>
  <c r="F17" i="1"/>
  <c r="E20" i="2" s="1"/>
  <c r="I16" i="1"/>
  <c r="H16" i="1"/>
  <c r="F16" i="1"/>
  <c r="I15" i="1"/>
  <c r="H15" i="1"/>
  <c r="F15" i="1"/>
  <c r="I14" i="1"/>
  <c r="H14" i="1"/>
  <c r="F14" i="1"/>
  <c r="F20" i="2" s="1"/>
  <c r="I13" i="1"/>
  <c r="H13" i="1"/>
  <c r="F13" i="1"/>
  <c r="I12" i="1"/>
  <c r="H12" i="1"/>
  <c r="F12" i="1"/>
  <c r="I11" i="1"/>
  <c r="H11" i="1"/>
  <c r="F11" i="1"/>
  <c r="C19" i="2" s="1"/>
  <c r="I10" i="1"/>
  <c r="H10" i="1"/>
  <c r="F10" i="1"/>
  <c r="F19" i="2" s="1"/>
  <c r="I9" i="1"/>
  <c r="H9" i="1"/>
  <c r="F9" i="1"/>
  <c r="I8" i="1"/>
  <c r="H8" i="1"/>
  <c r="F8" i="1"/>
  <c r="I7" i="1"/>
  <c r="H7" i="1"/>
  <c r="F7" i="1"/>
  <c r="I6" i="1"/>
  <c r="H6" i="1"/>
  <c r="F6" i="1"/>
  <c r="I5" i="1"/>
  <c r="H5" i="1"/>
  <c r="F5" i="1"/>
  <c r="I4" i="1"/>
  <c r="H4" i="1"/>
  <c r="F4" i="1"/>
  <c r="I3" i="1"/>
  <c r="H3" i="1"/>
  <c r="F3" i="1"/>
  <c r="E18" i="2" s="1"/>
  <c r="I2" i="1"/>
  <c r="H2" i="1"/>
  <c r="F2" i="1"/>
  <c r="C35" i="2" l="1"/>
  <c r="E24" i="2"/>
  <c r="F24" i="2"/>
  <c r="C27" i="2"/>
  <c r="F27" i="2"/>
  <c r="E30" i="2"/>
  <c r="F23" i="2"/>
  <c r="B49" i="2"/>
  <c r="C23" i="2"/>
  <c r="B12" i="2"/>
  <c r="C12" i="2" s="1"/>
  <c r="D17" i="2"/>
  <c r="F18" i="2"/>
  <c r="B20" i="2"/>
  <c r="D21" i="2"/>
  <c r="F22" i="2"/>
  <c r="B24" i="2"/>
  <c r="D25" i="2"/>
  <c r="F26" i="2"/>
  <c r="B28" i="2"/>
  <c r="D29" i="2"/>
  <c r="F30" i="2"/>
  <c r="D46" i="2"/>
  <c r="C49" i="2"/>
  <c r="B6" i="2"/>
  <c r="E17" i="2"/>
  <c r="C20" i="2"/>
  <c r="E21" i="2"/>
  <c r="C24" i="2"/>
  <c r="E25" i="2"/>
  <c r="C28" i="2"/>
  <c r="E29" i="2"/>
  <c r="C34" i="2"/>
  <c r="C38" i="2"/>
  <c r="B47" i="2"/>
  <c r="D49" i="2"/>
  <c r="B9" i="2"/>
  <c r="B13" i="2"/>
  <c r="F17" i="2"/>
  <c r="B19" i="2"/>
  <c r="D20" i="2"/>
  <c r="F21" i="2"/>
  <c r="B23" i="2"/>
  <c r="D24" i="2"/>
  <c r="F25" i="2"/>
  <c r="B27" i="2"/>
  <c r="D28" i="2"/>
  <c r="F29" i="2"/>
  <c r="C47" i="2"/>
  <c r="B50" i="2"/>
  <c r="E28" i="2"/>
  <c r="D47" i="2"/>
  <c r="C50" i="2"/>
  <c r="B10" i="2"/>
  <c r="C10" i="2" s="1"/>
  <c r="B18" i="2"/>
  <c r="D19" i="2"/>
  <c r="B22" i="2"/>
  <c r="D23" i="2"/>
  <c r="B26" i="2"/>
  <c r="D27" i="2"/>
  <c r="B30" i="2"/>
  <c r="B42" i="2"/>
  <c r="B48" i="2"/>
  <c r="D50" i="2"/>
  <c r="C18" i="2"/>
  <c r="E19" i="2"/>
  <c r="C22" i="2"/>
  <c r="E23" i="2"/>
  <c r="C26" i="2"/>
  <c r="E27" i="2"/>
  <c r="C30" i="2"/>
  <c r="C36" i="2"/>
  <c r="C48" i="2"/>
  <c r="B11" i="2"/>
  <c r="C11" i="2" s="1"/>
  <c r="B17" i="2"/>
  <c r="D18" i="2"/>
  <c r="B21" i="2"/>
  <c r="D22" i="2"/>
  <c r="B25" i="2"/>
  <c r="D26" i="2"/>
  <c r="B29" i="2"/>
  <c r="D30" i="2"/>
  <c r="B46" i="2"/>
  <c r="D48" i="2"/>
  <c r="C17" i="2"/>
  <c r="C46" i="2"/>
  <c r="G21" i="2" l="1"/>
  <c r="C31" i="2"/>
  <c r="B51" i="2"/>
  <c r="G29" i="2"/>
  <c r="G22" i="2"/>
  <c r="G25" i="2"/>
  <c r="G19" i="2"/>
  <c r="G24" i="2"/>
  <c r="G18" i="2"/>
  <c r="F31" i="2"/>
  <c r="G27" i="2"/>
  <c r="B43" i="2"/>
  <c r="C13" i="2"/>
  <c r="D51" i="2"/>
  <c r="G30" i="2"/>
  <c r="B14" i="2"/>
  <c r="C9" i="2"/>
  <c r="G20" i="2"/>
  <c r="G17" i="2"/>
  <c r="B31" i="2"/>
  <c r="G26" i="2"/>
  <c r="G23" i="2"/>
  <c r="G28" i="2"/>
  <c r="D31" i="2"/>
  <c r="C51" i="2"/>
  <c r="E31" i="2"/>
  <c r="G31" i="2" l="1"/>
  <c r="C14" i="2"/>
</calcChain>
</file>

<file path=xl/sharedStrings.xml><?xml version="1.0" encoding="utf-8"?>
<sst xmlns="http://schemas.openxmlformats.org/spreadsheetml/2006/main" count="1086" uniqueCount="415">
  <si>
    <t>#</t>
  </si>
  <si>
    <t>Old URL</t>
  </si>
  <si>
    <t>Page type</t>
  </si>
  <si>
    <t>Suggested action</t>
  </si>
  <si>
    <t>Agreed action</t>
  </si>
  <si>
    <t>Working action</t>
  </si>
  <si>
    <t>Notes</t>
  </si>
  <si>
    <t>12m clicks (GSC)</t>
  </si>
  <si>
    <t>12m views (GA4)</t>
  </si>
  <si>
    <t>New URL</t>
  </si>
  <si>
    <t>Owner</t>
  </si>
  <si>
    <t>Claire sign-off</t>
  </si>
  <si>
    <t>Status</t>
  </si>
  <si>
    <t>Redirect set up</t>
  </si>
  <si>
    <t>https://www.lipid.co.uk/</t>
  </si>
  <si>
    <t>Landing page</t>
  </si>
  <si>
    <t>Rewrite</t>
  </si>
  <si>
    <t>Becomes the MLA landing page in the Hutton structure. Rebuild from the Hutton template.</t>
  </si>
  <si>
    <t>Not started</t>
  </si>
  <si>
    <t>No</t>
  </si>
  <si>
    <t>https://www.lipid.co.uk/about-us</t>
  </si>
  <si>
    <t>Information page</t>
  </si>
  <si>
    <t>Core page. Rewrite for Hutton tone and merge in company history.</t>
  </si>
  <si>
    <t>https://www.lipid.co.uk/james-hutton-limited</t>
  </si>
  <si>
    <t>Merge</t>
  </si>
  <si>
    <t>Fold into the About page or the Hutton corporate pages.</t>
  </si>
  <si>
    <t>https://www.lipid.co.uk/quality</t>
  </si>
  <si>
    <t>Key trust page (accreditations, proficiency testing). Claire to check accuracy.</t>
  </si>
  <si>
    <t>https://www.lipid.co.uk/samples</t>
  </si>
  <si>
    <t>Sample submission guidance is high value. Check downloads and forms attached.</t>
  </si>
  <si>
    <t>https://www.lipid.co.uk/services/lipid-analysis/meet-team</t>
  </si>
  <si>
    <t>Merge into the team or About section.</t>
  </si>
  <si>
    <t>https://www.lipid.co.uk/testimonials</t>
  </si>
  <si>
    <t>Merge in the testimonials carousel slide. Check permission to keep quotes.</t>
  </si>
  <si>
    <t>https://www.lipid.co.uk/useful-links</t>
  </si>
  <si>
    <t>Review</t>
  </si>
  <si>
    <t>Check links still work and whether Hutton would host a links page at all.</t>
  </si>
  <si>
    <t>https://www.lipid.co.uk/services</t>
  </si>
  <si>
    <t>Service page</t>
  </si>
  <si>
    <t>Core commercial page. Prioritise.</t>
  </si>
  <si>
    <t>https://www.lipid.co.uk/services/analyses</t>
  </si>
  <si>
    <t>https://www.lipid.co.uk/services/method-development-validation</t>
  </si>
  <si>
    <t>https://www.lipid.co.uk/services/stability</t>
  </si>
  <si>
    <t>Suggested pilot page: representative, commercial and easy to review.</t>
  </si>
  <si>
    <t>https://www.lipid.co.uk/sectors</t>
  </si>
  <si>
    <t>Sector page</t>
  </si>
  <si>
    <t>Sector landing page. Rebuild from the Hutton template.</t>
  </si>
  <si>
    <t>https://www.lipid.co.uk/sectors/biofuel-analysis</t>
  </si>
  <si>
    <t>Commercial page by sector. Rewrite for Hutton structure and check keywords.</t>
  </si>
  <si>
    <t>https://www.lipid.co.uk/sectors/clinical-samples</t>
  </si>
  <si>
    <t>https://www.lipid.co.uk/sectors/food-drink</t>
  </si>
  <si>
    <t>https://www.lipid.co.uk/sectors/nutraceuticals</t>
  </si>
  <si>
    <t>https://www.lipid.co.uk/sectors/oil-content-and-oil-seed</t>
  </si>
  <si>
    <t>https://www.lipid.co.uk/sectors/skin-lipids-and-skin-health</t>
  </si>
  <si>
    <t>https://www.lipid.co.uk/case-studies</t>
  </si>
  <si>
    <t>Case study</t>
  </si>
  <si>
    <t>Landing page for case studies. Rebuild in Hutton format.</t>
  </si>
  <si>
    <t>https://www.lipid.co.uk/case-studies/omtrygtm-analysis-api-fpp</t>
  </si>
  <si>
    <t>Migrate as is</t>
  </si>
  <si>
    <t>Proof point for services. Light edit only.</t>
  </si>
  <si>
    <t>https://www.lipid.co.uk/sites/www.lipid.co.uk/files/2018-10/Customer Form Oct 2018.pdf</t>
  </si>
  <si>
    <t>Download / white paper</t>
  </si>
  <si>
    <t>Not in the original URL list. Dated 2018. Check for a current version and replace.</t>
  </si>
  <si>
    <t>https://www.lipid.co.uk/sites/www.lipid.co.uk/files/2018-10/GMP 34058 120515 Human.pdf</t>
  </si>
  <si>
    <t>Not in the original URL list. Looks like a GMP document. Claire to confirm it is current.</t>
  </si>
  <si>
    <t>https://www.lipid.co.uk/sites/www.lipid.co.uk/files/2018-10/GMP 34058 120515 Veterinary.pdf</t>
  </si>
  <si>
    <t>https://www.lipid.co.uk/sites/www.lipid.co.uk/files/2018-10/JHL - Website Privacy Notice.FINAL_.V2.May2018.pdf</t>
  </si>
  <si>
    <t>Retire</t>
  </si>
  <si>
    <t>Not in the original URL list. Use the main Hutton privacy notice and redirect to it.</t>
  </si>
  <si>
    <t>https://www.lipid.co.uk/sites/www.lipid.co.uk/files/2018-10/Sample Submission Form Oct 2018.pdf</t>
  </si>
  <si>
    <t>https://www.lipid.co.uk/sites/www.lipid.co.uk/files/2018-12/Mallakin RLO paper - 2018.pdf</t>
  </si>
  <si>
    <t>Not in the original URL list. PDF paper with search clicks. Check permission to host it, then keep or link out.</t>
  </si>
  <si>
    <t>https://www.lipid.co.uk/white-papers/white-paper-1</t>
  </si>
  <si>
    <t>Lead generation asset. Check the file and any gated form.</t>
  </si>
  <si>
    <t>https://www.lipid.co.uk/bill-christie</t>
  </si>
  <si>
    <t>Person profile</t>
  </si>
  <si>
    <t>High traffic (see /bill-christie-0). Consolidate into one page and redirect this URL to it.</t>
  </si>
  <si>
    <t>https://www.lipid.co.uk/bill-christie-0</t>
  </si>
  <si>
    <t>High traffic. This and /bill-christie together bring more clicks than any page except the homepage, while /people/william-christie gets almost none. Consolidate into ONE strong page and redirect both.</t>
  </si>
  <si>
    <t>https://www.lipid.co.uk/charlie-scrimgeour</t>
  </si>
  <si>
    <t>Some search traffic. Consolidate with /people/charlie-scrimgeour and redirect.</t>
  </si>
  <si>
    <t>https://www.lipid.co.uk/claire-traynor</t>
  </si>
  <si>
    <t>Meaningful search traffic. Consolidate with /people/claire-traynor and redirect.</t>
  </si>
  <si>
    <t>https://www.lipid.co.uk/people/allan-dick</t>
  </si>
  <si>
    <t>Confirm the person is still at MLA and match the Hutton people-page format.</t>
  </si>
  <si>
    <t>https://www.lipid.co.uk/people/andrew-kindness</t>
  </si>
  <si>
    <t>https://www.lipid.co.uk/people/angus-wilson</t>
  </si>
  <si>
    <t>https://www.lipid.co.uk/people/charlie-scrimgeour</t>
  </si>
  <si>
    <t>https://www.lipid.co.uk/people/christine-branney</t>
  </si>
  <si>
    <t>https://www.lipid.co.uk/people/claire-fernie</t>
  </si>
  <si>
    <t>https://www.lipid.co.uk/people/claire-traynor</t>
  </si>
  <si>
    <t>https://www.lipid.co.uk/people/demi-elliot</t>
  </si>
  <si>
    <t>https://www.lipid.co.uk/people/dr-carol-ann-craig</t>
  </si>
  <si>
    <t>https://www.lipid.co.uk/people/dr-gary-dobson</t>
  </si>
  <si>
    <t>https://www.lipid.co.uk/people/dr-rob-winwood</t>
  </si>
  <si>
    <t>https://www.lipid.co.uk/people/finlay-stewart</t>
  </si>
  <si>
    <t>https://www.lipid.co.uk/people/gordon-mcdougall</t>
  </si>
  <si>
    <t>https://www.lipid.co.uk/people/jean-wilkie</t>
  </si>
  <si>
    <t>https://www.lipid.co.uk/people/jennifer-haig</t>
  </si>
  <si>
    <t>https://www.lipid.co.uk/people/julie-sungurtas</t>
  </si>
  <si>
    <t>https://www.lipid.co.uk/people/kenneth-amayo</t>
  </si>
  <si>
    <t>https://www.lipid.co.uk/people/kirsty-macleod</t>
  </si>
  <si>
    <t>https://www.lipid.co.uk/people/lucy-asare</t>
  </si>
  <si>
    <t>https://www.lipid.co.uk/people/professor-terry-k-smith</t>
  </si>
  <si>
    <t>https://www.lipid.co.uk/people/sophie-craig</t>
  </si>
  <si>
    <t>https://www.lipid.co.uk/people/stuart-ramage</t>
  </si>
  <si>
    <t>https://www.lipid.co.uk/people/thomas-taylor</t>
  </si>
  <si>
    <t>https://www.lipid.co.uk/people/william-christie</t>
  </si>
  <si>
    <t>https://www.lipid.co.uk/news</t>
  </si>
  <si>
    <t>News article</t>
  </si>
  <si>
    <t>News landing page. Depends on the Hutton news structure.</t>
  </si>
  <si>
    <t>https://www.lipid.co.uk/news/25-years-our-story-so-far</t>
  </si>
  <si>
    <t>Company history. Merge into the About page.</t>
  </si>
  <si>
    <t>https://www.lipid.co.uk/news/analytical-chemist-vacancy-1</t>
  </si>
  <si>
    <t>Old vacancy. Retire.</t>
  </si>
  <si>
    <t>https://www.lipid.co.uk/news/another-successful-course-mylnefield-lipid-analysis</t>
  </si>
  <si>
    <t>Past course report. Retire unless the course continues.</t>
  </si>
  <si>
    <t>https://www.lipid.co.uk/news/cannabidiol-safe-daily-dose-limit-cut-food-regulator</t>
  </si>
  <si>
    <t>Third-party or industry news. Decide on traffic and shelf life.</t>
  </si>
  <si>
    <t>https://www.lipid.co.uk/news/dietary-high-oleic-acid-soybean-oil-dose-dependently-attenuates-egg-yolk-content-n-3</t>
  </si>
  <si>
    <t>https://www.lipid.co.uk/news/egg-centric-nutrition-humans</t>
  </si>
  <si>
    <t>Very high search visibility (17,000+ impressions). Keep and migrate carefully.</t>
  </si>
  <si>
    <t>https://www.lipid.co.uk/news/eu-amendments-heavy-metals-go-effect</t>
  </si>
  <si>
    <t>https://www.lipid.co.uk/news/gmp-stability-storage-and-testing</t>
  </si>
  <si>
    <t>Supports the stability service. Check traffic.</t>
  </si>
  <si>
    <t>https://www.lipid.co.uk/news/goed-study-puts-rest-toxicity-concerns</t>
  </si>
  <si>
    <t>https://www.lipid.co.uk/news/heavy-metal-analysis-icp-ms</t>
  </si>
  <si>
    <t>Supports a service. Check traffic.</t>
  </si>
  <si>
    <t>https://www.lipid.co.uk/news/important-information-regarding-prices-1st-april-2021</t>
  </si>
  <si>
    <t>Dated price notice. Retire.</t>
  </si>
  <si>
    <t>https://www.lipid.co.uk/news/issfal-issues-new-guidelines-analysis-blood-status-clinical-research</t>
  </si>
  <si>
    <t>https://www.lipid.co.uk/news/meet-our-newest-team-members</t>
  </si>
  <si>
    <t>Dated staff news. Retire once profiles are checked.</t>
  </si>
  <si>
    <t>https://www.lipid.co.uk/news/meet-team-claire-traynor-celebrating-25-years</t>
  </si>
  <si>
    <t>Merge into her profile or the history section.</t>
  </si>
  <si>
    <t>https://www.lipid.co.uk/news/mla-team-scores-perfect-zero-latest-proficiency-testing-cannabis-and-related-products</t>
  </si>
  <si>
    <t>Quality proof point. Could sit on the Quality page too.</t>
  </si>
  <si>
    <t>https://www.lipid.co.uk/news/mylnefield-lipid-analysis-claims-first-place-prestigious-proficiency-testing-programme</t>
  </si>
  <si>
    <t>https://www.lipid.co.uk/news/mylnefield-lipid-analysis-work-study-characterising-ratfish-liver-oil</t>
  </si>
  <si>
    <t>Case-study style content. Check traffic.</t>
  </si>
  <si>
    <t>https://www.lipid.co.uk/news/new-anti-inflammatory-product-created-following-analysis-mylnefield-lipid-analysis</t>
  </si>
  <si>
    <t>https://www.lipid.co.uk/news/new-database-msu-references-450-plant-fatty-acids</t>
  </si>
  <si>
    <t>https://www.lipid.co.uk/news/new-paper-first-report-quality-and-purity-evaluations-avocado-oil-sold-us</t>
  </si>
  <si>
    <t>https://www.lipid.co.uk/news/new-study-shows-clear-benefit-increased-epa-dha-intake</t>
  </si>
  <si>
    <t>https://www.lipid.co.uk/news/omega-3-fatty-acid-content-should-be-expressed-weight-not-area-percent-says-goed-industry</t>
  </si>
  <si>
    <t>https://www.lipid.co.uk/news/open-business</t>
  </si>
  <si>
    <t>Dated operational notice. Retire.</t>
  </si>
  <si>
    <t>https://www.lipid.co.uk/news/oxidised-fish</t>
  </si>
  <si>
    <t>Near-duplicate of oxidised-fish-oil-problem but with real search visibility. Merge and redirect.</t>
  </si>
  <si>
    <t>https://www.lipid.co.uk/news/oxidised-fish-oil-problem</t>
  </si>
  <si>
    <t>Own expertise, likely SEO value. Check traffic.</t>
  </si>
  <si>
    <t>https://www.lipid.co.uk/news/professor-frank-d-gunstone</t>
  </si>
  <si>
    <t>Attracts search clicks. Keep, ideally with light edits.</t>
  </si>
  <si>
    <t>https://www.lipid.co.uk/news/reduce-it-study</t>
  </si>
  <si>
    <t>https://www.lipid.co.uk/news/research-article-encapsulated-fish-oil-products-available-uk-meet-regulatory-guidelines</t>
  </si>
  <si>
    <t>https://www.lipid.co.uk/news/residual-solvents-analysis</t>
  </si>
  <si>
    <t>https://www.lipid.co.uk/news/rob-winwood-can-sterols-and-stanols-be-beneficial-heart-health-and-how-do-i-find-out-how-much</t>
  </si>
  <si>
    <t>Expert blog. Check traffic.</t>
  </si>
  <si>
    <t>https://www.lipid.co.uk/news/rob-winwood-joins-consultant</t>
  </si>
  <si>
    <t>Dated staff news. Covered by his profile page.</t>
  </si>
  <si>
    <t>https://www.lipid.co.uk/news/scotlands-life-sciences-awards-2019-call-nominations-now-open</t>
  </si>
  <si>
    <t>Dated call for nominations. Retire.</t>
  </si>
  <si>
    <t>https://www.lipid.co.uk/news/statement-graham-ogg-0</t>
  </si>
  <si>
    <t>Duplicate of a slide and an earlier statement. Retire or check with Ian.</t>
  </si>
  <si>
    <t>https://www.lipid.co.uk/news/thought-provoking-paper-bmj-potential-effect-food-emulsifiers-cardiovascular-diseases-cvd</t>
  </si>
  <si>
    <t>https://www.lipid.co.uk/news/we-are-members-goed</t>
  </si>
  <si>
    <t>Membership. Merge into the Quality or About page.</t>
  </si>
  <si>
    <t>https://www.lipid.co.uk/news/were-exhibiting-issfal-congress</t>
  </si>
  <si>
    <t>Past event announcement. Retire.</t>
  </si>
  <si>
    <t>https://www.lipid.co.uk/news/wishing-sheena-happy-retirement</t>
  </si>
  <si>
    <t>Dated staff news. Retire.</t>
  </si>
  <si>
    <t>https://www.lipid.co.uk/events</t>
  </si>
  <si>
    <t>Event / course</t>
  </si>
  <si>
    <t>Decide whether events sit on Hutton events pages instead.</t>
  </si>
  <si>
    <t>https://www.lipid.co.uk/events/issfal-2020</t>
  </si>
  <si>
    <t>Past event. Redirect to the events landing page.</t>
  </si>
  <si>
    <t>https://www.lipid.co.uk/events/webinar-lipid-classes-compounds-quality-control-and-contaminants</t>
  </si>
  <si>
    <t>Keep if the recording is still available, otherwise retire.</t>
  </si>
  <si>
    <t>https://www.lipid.co.uk/register-fatty-acids-lipids-analysis-course</t>
  </si>
  <si>
    <t>Is the course still running? If not, retire.</t>
  </si>
  <si>
    <t>https://www.lipid.co.uk/services/training-course</t>
  </si>
  <si>
    <t>Not in the original URL list. Gets search clicks. Confirm the course still runs, and align with the course registration page.</t>
  </si>
  <si>
    <t>https://www.lipid.co.uk/25th-anniversary-videos</t>
  </si>
  <si>
    <t>Media</t>
  </si>
  <si>
    <t>Merge with the videos page or the company history section.</t>
  </si>
  <si>
    <t>https://www.lipid.co.uk/videos</t>
  </si>
  <si>
    <t>Decide whether videos are embedded on service pages or kept as a hub.</t>
  </si>
  <si>
    <t>https://www.lipid.co.uk/contact-us</t>
  </si>
  <si>
    <t>Contact / form</t>
  </si>
  <si>
    <t>Check where enquiry emails and form submissions go before launch.</t>
  </si>
  <si>
    <t>https://www.lipid.co.uk/form/contact/confirmation</t>
  </si>
  <si>
    <t>Not in the original URL list. Thank-you page after the contact form. Replicate on the Hutton form so conversion tracking still works.</t>
  </si>
  <si>
    <t>https://www.lipid.co.uk/new-customer-form</t>
  </si>
  <si>
    <t>Not in the original URL list. One of the most-viewed pages with long engagement. Check where submissions go and rebuild carefully.</t>
  </si>
  <si>
    <t>https://www.lipid.co.uk/subscribe</t>
  </si>
  <si>
    <t>Mailing list sign-up. Check which tool holds the list and GDPR consent before moving.</t>
  </si>
  <si>
    <t>https://www.lipid.co.uk/slides/celebrating-25-years</t>
  </si>
  <si>
    <t>Homepage slide</t>
  </si>
  <si>
    <t>Homepage carousel slide, not a standalone page. Recreate as a banner if wanted.</t>
  </si>
  <si>
    <t>https://www.lipid.co.uk/slides/latest-blog-egg-centric-nutrition-humans</t>
  </si>
  <si>
    <t>https://www.lipid.co.uk/slides/latest-blog-oxidised-fish-oil-problem</t>
  </si>
  <si>
    <t>https://www.lipid.co.uk/slides/mla-team-scores-perfect-zero</t>
  </si>
  <si>
    <t>https://www.lipid.co.uk/slides/mylnefield-lipid-analysis</t>
  </si>
  <si>
    <t>https://www.lipid.co.uk/slides/new-service-cannabinoid-profiling</t>
  </si>
  <si>
    <t>https://www.lipid.co.uk/slides/our-laboratory-open</t>
  </si>
  <si>
    <t>https://www.lipid.co.uk/slides/rob-winwood-latest-blog</t>
  </si>
  <si>
    <t>https://www.lipid.co.uk/slides/statement-graham-ogg</t>
  </si>
  <si>
    <t>https://www.lipid.co.uk/slides/testimonials</t>
  </si>
  <si>
    <t>Merge into the testimonials page.</t>
  </si>
  <si>
    <t>https://www.lipid.co.uk/slides/we-are-members-goed</t>
  </si>
  <si>
    <t>https://www.lipid.co.uk/about-website</t>
  </si>
  <si>
    <t>Legal / policy</t>
  </si>
  <si>
    <t>Site info page. Hutton has its own site notices, so redirect there.</t>
  </si>
  <si>
    <t>https://www.lipid.co.uk/cookie-policy</t>
  </si>
  <si>
    <t>Use the main Hutton cookie policy and redirect to it.</t>
  </si>
  <si>
    <t>https://www.lipid.co.uk/freedom-information</t>
  </si>
  <si>
    <t>Check Hutton has an equivalent FOI page, then redirect to it.</t>
  </si>
  <si>
    <t>https://www.lipid.co.uk/node/3</t>
  </si>
  <si>
    <t>Test / duplicate</t>
  </si>
  <si>
    <t>Raw Drupal node URL. Find out which page this resolves to. Probably a duplicate.</t>
  </si>
  <si>
    <t>https://www.lipid.co.uk/node/604</t>
  </si>
  <si>
    <t>Not in the original URL list. Raw node URL with views. Find out what it is.</t>
  </si>
  <si>
    <t>https://www.lipid.co.uk/node/724</t>
  </si>
  <si>
    <t>https://www.lipid.co.uk/node/739</t>
  </si>
  <si>
    <t>https://www.lipid.co.uk/node/761</t>
  </si>
  <si>
    <t>https://www.lipid.co.uk/test-slide-page</t>
  </si>
  <si>
    <t>Looks like a test page. Retire.</t>
  </si>
  <si>
    <t>MLA to Hutton migration: summary</t>
  </si>
  <si>
    <t>All figures update automatically from the Content Map tab.</t>
  </si>
  <si>
    <t>Total pages listed</t>
  </si>
  <si>
    <t>Actions agreed so far</t>
  </si>
  <si>
    <t>Agreed as % of pages</t>
  </si>
  <si>
    <t>Pages</t>
  </si>
  <si>
    <t>% of total</t>
  </si>
  <si>
    <t>Total</t>
  </si>
  <si>
    <t>Build progress</t>
  </si>
  <si>
    <t>In progress</t>
  </si>
  <si>
    <t>In review</t>
  </si>
  <si>
    <t>Approved</t>
  </si>
  <si>
    <t>Live</t>
  </si>
  <si>
    <t>Claire sign-off complete</t>
  </si>
  <si>
    <t>Redirects set up</t>
  </si>
  <si>
    <t>Redirects as % of pages</t>
  </si>
  <si>
    <t>Pages still to decide (Review)</t>
  </si>
  <si>
    <t>Traffic check</t>
  </si>
  <si>
    <t>12m clicks</t>
  </si>
  <si>
    <t>12m views</t>
  </si>
  <si>
    <t>Check the Retire and Review rows: any clicks there need a considered redirect.</t>
  </si>
  <si>
    <t>How to use this workbook</t>
  </si>
  <si>
    <t>Where the suggestions came from</t>
  </si>
  <si>
    <t>The suggested actions and notes are a first pass based on URL patterns and page titles only. I have not seen the page content or the traffic data, so please treat them as a starting point for Ian, Claire and you to confirm.</t>
  </si>
  <si>
    <t>Pale yellow cells</t>
  </si>
  <si>
    <t>These are the cells for you to fill in: Agreed action, New URL, Owner and Claire sign-off. Everything else is pre-filled or calculated.</t>
  </si>
  <si>
    <t>Suggested vs agreed action</t>
  </si>
  <si>
    <t>Column D is the suggestion. Choose from the dropdown in column E when a decision is made. Column F (Working action) shows the agreed action if there is one, otherwise the suggestion, and feeds the Summary tab.</t>
  </si>
  <si>
    <t>Traffic columns</t>
  </si>
  <si>
    <t>Clicks (Google Search Console) and views (GA4) are pulled in by formula from the GSC and GA4 tabs. Both cover 28 Sep 2025 to 28 Sep 2026 (GSC starts 26 Sep 2025). A zero means the page had no data in the export. To refresh, paste new exports over the GSC and GA4 tabs, keeping the same columns.</t>
  </si>
  <si>
    <t>Pages added from analytics</t>
  </si>
  <si>
    <t>Eleven rows were added because they appeared in GA4 or Search Console but were missing from the original URL list (forms, the training course page, PDFs and two raw node URLs). Their notes start with "Not in the original URL list".</t>
  </si>
  <si>
    <t>Left out on purpose</t>
  </si>
  <si>
    <t>Admin and system URLs (login, user pages, search, 403/404 pages), list pagination, image files and a few legacy .asp probes were left out as they need no rebuild. Ask whoever runs the server whether any legacy URLs need redirects.</t>
  </si>
  <si>
    <t>Adding pages</t>
  </si>
  <si>
    <t>Add new rows below the last one (the formulas, dropdowns and Summary counts run to row 150).</t>
  </si>
  <si>
    <t>Content moves across with light edits, rebuilt in the Hutton template.</t>
  </si>
  <si>
    <t>Content needs reworking for the Hutton structure, tone or keywords.</t>
  </si>
  <si>
    <t>Content folds into another page. Put the destination in the New URL column.</t>
  </si>
  <si>
    <t>Page is not rebuilt. It still needs a 301 redirect to the closest relevant new page (never just the homepage).</t>
  </si>
  <si>
    <t>No decision yet. Check traffic and content, then decide.</t>
  </si>
  <si>
    <t>Redirects</t>
  </si>
  <si>
    <t>Every old URL should have a row with a New URL and "Yes" in the Redirect column before launch, including retired pages. Duplicates and raw /node/ URLs need redirects too.</t>
  </si>
  <si>
    <t>Example row</t>
  </si>
  <si>
    <t>Old URL: https://www.lipid.co.uk/services/stability | Agreed action: Rewrite | New URL: https://www.hutton.ac.uk/[agreed path]/stability | Owner: Harvey | Claire sign-off: Yes | Status: Approved | Redirect set up: No. (The path is a placeholder until the Hutton structure is agreed.)</t>
  </si>
  <si>
    <t>URL</t>
  </si>
  <si>
    <t>Clicks (12m)</t>
  </si>
  <si>
    <t>Impressions (12m)</t>
  </si>
  <si>
    <t>https://www.lipid.co.uk/news?page=3</t>
  </si>
  <si>
    <t>https://www.lipid.co.uk/news?page=2</t>
  </si>
  <si>
    <t>https://www.lipid.co.uk/user/login</t>
  </si>
  <si>
    <t>https://www.lipid.co.uk/sites/www.lipid.co.uk/files/inline-images/Mylnefield_Lipid_Analysis_Fish_Oil_Oxidisation_Process-100.jpg</t>
  </si>
  <si>
    <t>https://www.lipid.co.uk/sites/www.lipid.co.uk/files/styles/flexslider_full_scale_and_crop_1663_550/public/2023-08/mla_cannabinoid_analysis.jpg?itok=KhJwyxHH</t>
  </si>
  <si>
    <t>https://www.lipid.co.uk/sites/www.lipid.co.uk/files/styles/flexslider_full_scale_and_crop_1663_550/public/2025-01/chemist-2815640_1920_0.jpg?itok=AmmJeVrx</t>
  </si>
  <si>
    <t>https://www.lipid.co.uk/analytical/</t>
  </si>
  <si>
    <t>https://www.lipid.co.uk/sites/www.lipid.co.uk/files/2023-09/Mylnefield_Lipid_Analysis_Oxidised_Fish_Oils_web.jpg</t>
  </si>
  <si>
    <t>https://www.lipid.co.uk/sites/www.lipid.co.uk/files/styles/feature_block/public/2021-12/GOED Logo Feature Box Size_0.jpg?itok=bGtvoquT</t>
  </si>
  <si>
    <t>https://www.lipid.co.uk/FOIPolicy</t>
  </si>
  <si>
    <t>https://www.lipid.co.uk/sites/www.lipid.co.uk/files/styles/carousel_image/public/2018-10/GC Vials compressed.jpg?itok=d4AN6hUh</t>
  </si>
  <si>
    <t>https://www.lipid.co.uk/news?page=1</t>
  </si>
  <si>
    <t>https://www.lipid.co.uk/sites/www.lipid.co.uk/files/styles/flexslider_full_scale_and_crop_1663_550/public/2018-10/Shaking Oil Compressed_0.jpg?itok=rL23IQKN</t>
  </si>
  <si>
    <t>https://www.lipid.co.uk/sites/www.lipid.co.uk/files/2025-01/GOED cert image.jpg</t>
  </si>
  <si>
    <t>Page path</t>
  </si>
  <si>
    <t>Views (12m)</t>
  </si>
  <si>
    <t>Active users</t>
  </si>
  <si>
    <t>/</t>
  </si>
  <si>
    <t>/services</t>
  </si>
  <si>
    <t>/news</t>
  </si>
  <si>
    <t>/about-us</t>
  </si>
  <si>
    <t>/services/analyses</t>
  </si>
  <si>
    <t>/contact-us</t>
  </si>
  <si>
    <t>/sectors</t>
  </si>
  <si>
    <t>/new-customer-form</t>
  </si>
  <si>
    <t>/quality</t>
  </si>
  <si>
    <t>/samples</t>
  </si>
  <si>
    <t>/bill-christie-0</t>
  </si>
  <si>
    <t>/news/oxidised-fish-oil-problem</t>
  </si>
  <si>
    <t>/services/training-course</t>
  </si>
  <si>
    <t>/bill-christie</t>
  </si>
  <si>
    <t>/news/egg-centric-nutrition-humans</t>
  </si>
  <si>
    <t>/testimonials</t>
  </si>
  <si>
    <t>/404.html</t>
  </si>
  <si>
    <t>/james-hutton-limited</t>
  </si>
  <si>
    <t>/sectors/clinical-samples</t>
  </si>
  <si>
    <t>/services/method-development-validation</t>
  </si>
  <si>
    <t>/services/lipid-analysis/meet-team</t>
  </si>
  <si>
    <t>/search/node</t>
  </si>
  <si>
    <t>/sectors/oil-content-and-oil-seed</t>
  </si>
  <si>
    <t>/sectors/food-drink</t>
  </si>
  <si>
    <t>/sectors/biofuel-analysis</t>
  </si>
  <si>
    <t>/white-papers/white-paper-1</t>
  </si>
  <si>
    <t>/sectors/nutraceuticals</t>
  </si>
  <si>
    <t>/sectors/skin-lipids-and-skin-health</t>
  </si>
  <si>
    <t>/useful-links</t>
  </si>
  <si>
    <t>/403.html</t>
  </si>
  <si>
    <t>/news/eu-amendments-heavy-metals-go-effect</t>
  </si>
  <si>
    <t>/case-studies/omtrygtm-analysis-api-fpp</t>
  </si>
  <si>
    <t>/user/login</t>
  </si>
  <si>
    <t>/news/mla-team-scores-perfect-zero-latest-proficiency-testing-cannabis-and-related-products</t>
  </si>
  <si>
    <t>/form/contact/confirmation</t>
  </si>
  <si>
    <t>/news/oxidised-fish</t>
  </si>
  <si>
    <t>/services/stability</t>
  </si>
  <si>
    <t>/news/professor-frank-d-gunstone</t>
  </si>
  <si>
    <t>/about-website</t>
  </si>
  <si>
    <t>/news/cannabidiol-safe-daily-dose-limit-cut-food-regulator</t>
  </si>
  <si>
    <t>/cookie-policy</t>
  </si>
  <si>
    <t>/events</t>
  </si>
  <si>
    <t>/claire-traynor</t>
  </si>
  <si>
    <t>/charlie-scrimgeour</t>
  </si>
  <si>
    <t>/news/mylnefield-lipid-analysis-claims-first-place-prestigious-proficiency-testing-programme</t>
  </si>
  <si>
    <t>/news/residual-solvents-analysis</t>
  </si>
  <si>
    <t>/news/rob-winwood-joins-consultant</t>
  </si>
  <si>
    <t>/news/statement-graham-ogg-0</t>
  </si>
  <si>
    <t>/news/thought-provoking-paper-bmj-potential-effect-food-emulsifiers-cardiovascular-diseases-cvd</t>
  </si>
  <si>
    <t>/news/heavy-metal-analysis-icp-ms</t>
  </si>
  <si>
    <t>/news/mylnefield-lipid-analysis-work-study-characterising-ratfish-liver-oil</t>
  </si>
  <si>
    <t>/news/we-are-members-goed</t>
  </si>
  <si>
    <t>/node/761</t>
  </si>
  <si>
    <t>/user/194</t>
  </si>
  <si>
    <t>/news/important-information-regarding-prices-1st-april-2021</t>
  </si>
  <si>
    <t>/news/omega-3-fatty-acid-content-should-be-expressed-weight-not-area-percent-says-goed-industry</t>
  </si>
  <si>
    <t>/news/meet-team-claire-traynor-celebrating-25-years</t>
  </si>
  <si>
    <t>/news/new-database-msu-references-450-plant-fatty-acids</t>
  </si>
  <si>
    <t>/people/allan-dick</t>
  </si>
  <si>
    <t>/node/604</t>
  </si>
  <si>
    <t>/user/1</t>
  </si>
  <si>
    <t>/news/25-years-our-story-so-far</t>
  </si>
  <si>
    <t>/news/meet-our-newest-team-members</t>
  </si>
  <si>
    <t>/news/rob-winwood-can-sterols-and-stanols-be-beneficial-heart-health-and-how-do-i-find-out-how-much</t>
  </si>
  <si>
    <t>/people/dr-rob-winwood</t>
  </si>
  <si>
    <t>/contact.asp</t>
  </si>
  <si>
    <t>/news/dietary-high-oleic-acid-soybean-oil-dose-dependently-attenuates-egg-yolk-content-n-3</t>
  </si>
  <si>
    <t>/news/issfal-issues-new-guidelines-analysis-blood-status-clinical-research</t>
  </si>
  <si>
    <t>/2021/includes/popups/expo/expoAssetTracking.asp</t>
  </si>
  <si>
    <t>/news/another-successful-course-mylnefield-lipid-analysis</t>
  </si>
  <si>
    <t>/news/gmp-stability-storage-and-testing</t>
  </si>
  <si>
    <t>/news/new-anti-inflammatory-product-created-following-analysis-mylnefield-lipid-analysis</t>
  </si>
  <si>
    <t>/news/research-article-encapsulated-fish-oil-products-available-uk-meet-regulatory-guidelines</t>
  </si>
  <si>
    <t>/news/were-exhibiting-issfal-congress</t>
  </si>
  <si>
    <t>/people/claire-traynor</t>
  </si>
  <si>
    <t>//checkout/</t>
  </si>
  <si>
    <t>/news/analytical-chemist-vacancy-1</t>
  </si>
  <si>
    <t>/news/new-paper-first-report-quality-and-purity-evaluations-avocado-oil-sold-us</t>
  </si>
  <si>
    <t>/news/node/604</t>
  </si>
  <si>
    <t>/sectors/node/757</t>
  </si>
  <si>
    <t>/services/node/757</t>
  </si>
  <si>
    <t>/25th-anniversary-videos</t>
  </si>
  <si>
    <t>/case-studies</t>
  </si>
  <si>
    <t>/case-studies/node/604</t>
  </si>
  <si>
    <t>/case-studies/node/761</t>
  </si>
  <si>
    <t>/news/goed-study-puts-rest-toxicity-concerns</t>
  </si>
  <si>
    <t>/news/open-business</t>
  </si>
  <si>
    <t>/news/scotlands-life-sciences-awards-2019-call-nominations-now-open</t>
  </si>
  <si>
    <t>/news/wishing-sheena-happy-retirement</t>
  </si>
  <si>
    <t>/people/demi-elliot</t>
  </si>
  <si>
    <t>/register-fatty-acids-lipids-analysis-course</t>
  </si>
  <si>
    <t>/sectors/node/604</t>
  </si>
  <si>
    <t>/case-studies/node/757</t>
  </si>
  <si>
    <t>/media/add/image</t>
  </si>
  <si>
    <t>/news/new-study-shows-clear-benefit-increased-epa-dha-intake</t>
  </si>
  <si>
    <t>/news/node/757</t>
  </si>
  <si>
    <t>/news/reduce-it-study</t>
  </si>
  <si>
    <t>/node/623</t>
  </si>
  <si>
    <t>/node/757</t>
  </si>
  <si>
    <t>/node/node/604</t>
  </si>
  <si>
    <t>/sectors/node/761</t>
  </si>
  <si>
    <t>/services/node/604</t>
  </si>
  <si>
    <t>/services/node/761</t>
  </si>
  <si>
    <t>/slides/mylnefield-lipid-analysis</t>
  </si>
  <si>
    <t>/user/password</t>
  </si>
  <si>
    <t>/videos</t>
  </si>
  <si>
    <t>/events/webinar-lipid-classes-compounds-quality-control-and-contaminants</t>
  </si>
  <si>
    <t>/filter/tips</t>
  </si>
  <si>
    <t>/media/add</t>
  </si>
  <si>
    <t>/news/node/761</t>
  </si>
  <si>
    <t>/node</t>
  </si>
  <si>
    <t>/node/658</t>
  </si>
  <si>
    <t>/node/node/757</t>
  </si>
  <si>
    <t>/node/node/761</t>
  </si>
  <si>
    <t>/people/christine-branney</t>
  </si>
  <si>
    <t>/people/dr-gary-dobson</t>
  </si>
  <si>
    <t>/people/finlay-stewart</t>
  </si>
  <si>
    <t>/people/lucy-asare</t>
  </si>
  <si>
    <t>/people/professor-terry-k-smith</t>
  </si>
  <si>
    <t>/people/sophie-craig</t>
  </si>
  <si>
    <t>/samplesubmission</t>
  </si>
  <si>
    <t>/subscribe</t>
  </si>
  <si>
    <t>This will become the Cannabis Analysis page (HCA)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</si>
</sst>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0"/>
      <color rgb="FFFFFFFF"/>
      <name val="Arial"/>
      <charset val="1"/>
    </font>
    <font>
      <sz val="10"/>
      <name val="Arial"/>
      <charset val="1"/>
    </font>
    <font>
      <u/>
      <sz val="10"/>
      <color rgb="FF0563C1"/>
      <name val="Arial"/>
      <charset val="1"/>
    </font>
    <font>
      <b/>
      <sz val="14"/>
      <color rgb="FF1F4E3D"/>
      <name val="Arial"/>
      <charset val="1"/>
    </font>
    <font>
      <i/>
      <sz val="9"/>
      <name val="Arial"/>
      <charset val="1"/>
    </font>
    <font>
      <b/>
      <sz val="10"/>
      <name val="Arial"/>
      <charset val="1"/>
    </font>
    <font>
      <u/>
      <sz val="11"/>
      <color theme="10"/>
      <name val="Calibri"/>
      <family val="2"/>
      <charset val="1"/>
    </font>
  </fonts>
  <fills count="4">
    <fill>
      <patternFill patternType="none"/>
    </fill>
    <fill>
      <patternFill patternType="gray125"/>
    </fill>
    <fill>
      <patternFill patternType="solid">
        <fgColor rgb="FF1F4E3D"/>
        <bgColor rgb="FF003366"/>
      </patternFill>
    </fill>
    <fill>
      <patternFill patternType="solid">
        <fgColor rgb="FFFFFBE6"/>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7" fillId="0" borderId="0" applyNumberFormat="0" applyFill="0" applyBorder="0" applyAlignment="0" applyProtection="0"/>
  </cellStyleXfs>
  <cellXfs count="22">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0" borderId="1" xfId="0" applyFont="1" applyBorder="1" applyAlignment="1">
      <alignment horizontal="center" vertical="top" wrapText="1"/>
    </xf>
    <xf numFmtId="0" fontId="3" fillId="0" borderId="1" xfId="0" applyFont="1" applyBorder="1" applyAlignment="1">
      <alignment vertical="top"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3" borderId="1" xfId="0" applyFont="1" applyFill="1" applyBorder="1" applyAlignment="1">
      <alignment horizontal="center" vertical="top" wrapText="1"/>
    </xf>
    <xf numFmtId="0" fontId="2" fillId="0" borderId="0" xfId="0" applyFont="1"/>
    <xf numFmtId="0" fontId="4" fillId="0" borderId="0" xfId="0" applyFont="1"/>
    <xf numFmtId="0" fontId="5" fillId="0" borderId="0" xfId="0" applyFont="1"/>
    <xf numFmtId="0" fontId="6" fillId="0" borderId="1" xfId="0" applyFont="1" applyBorder="1"/>
    <xf numFmtId="0" fontId="6" fillId="0" borderId="1" xfId="0" applyFont="1" applyBorder="1" applyAlignment="1">
      <alignment horizontal="center"/>
    </xf>
    <xf numFmtId="0" fontId="2" fillId="0" borderId="1" xfId="0" applyFont="1" applyBorder="1"/>
    <xf numFmtId="9" fontId="2" fillId="0" borderId="1" xfId="0" applyNumberFormat="1" applyFont="1" applyBorder="1" applyAlignment="1">
      <alignment horizontal="center"/>
    </xf>
    <xf numFmtId="0" fontId="1" fillId="2" borderId="1" xfId="0" applyFont="1" applyFill="1" applyBorder="1" applyAlignment="1">
      <alignment horizontal="left" wrapText="1"/>
    </xf>
    <xf numFmtId="0" fontId="1" fillId="2" borderId="1" xfId="0" applyFont="1" applyFill="1" applyBorder="1" applyAlignment="1">
      <alignment horizontal="center" wrapText="1"/>
    </xf>
    <xf numFmtId="0" fontId="2" fillId="0" borderId="1" xfId="0" applyFont="1" applyBorder="1" applyAlignment="1">
      <alignment horizontal="center"/>
    </xf>
    <xf numFmtId="9" fontId="6" fillId="0" borderId="1" xfId="0" applyNumberFormat="1" applyFont="1" applyBorder="1" applyAlignment="1">
      <alignment horizontal="center"/>
    </xf>
    <xf numFmtId="0" fontId="6" fillId="0" borderId="1" xfId="0" applyFont="1" applyBorder="1" applyAlignment="1">
      <alignment vertical="top" wrapText="1"/>
    </xf>
    <xf numFmtId="0" fontId="1" fillId="2" borderId="1" xfId="0" applyFont="1" applyFill="1" applyBorder="1"/>
    <xf numFmtId="0" fontId="7" fillId="0" borderId="1" xfId="1" applyBorder="1" applyAlignment="1">
      <alignment vertical="top" wrapText="1"/>
    </xf>
  </cellXfs>
  <cellStyles count="2">
    <cellStyle name="Hyperlink" xfId="1" builtinId="8"/>
    <cellStyle name="Normal" xfId="0" builtinId="0"/>
  </cellStyles>
  <dxfs count="11">
    <dxf>
      <fill>
        <patternFill>
          <bgColor rgb="FFC6E0B4"/>
        </patternFill>
      </fill>
    </dxf>
    <dxf>
      <fill>
        <patternFill>
          <bgColor rgb="FFBDD7EE"/>
        </patternFill>
      </fill>
    </dxf>
    <dxf>
      <fill>
        <patternFill>
          <bgColor rgb="FFFFE699"/>
        </patternFill>
      </fill>
    </dxf>
    <dxf>
      <fill>
        <patternFill>
          <bgColor rgb="FFC6E0B4"/>
        </patternFill>
      </fill>
    </dxf>
    <dxf>
      <fill>
        <patternFill>
          <bgColor rgb="FFC6E0B4"/>
        </patternFill>
      </fill>
    </dxf>
    <dxf>
      <fill>
        <patternFill>
          <bgColor rgb="FFC6E0B4"/>
        </patternFill>
      </fill>
    </dxf>
    <dxf>
      <fill>
        <patternFill>
          <bgColor rgb="FFD9D9D9"/>
        </patternFill>
      </fill>
    </dxf>
    <dxf>
      <fill>
        <patternFill>
          <bgColor rgb="FFF4B6B6"/>
        </patternFill>
      </fill>
    </dxf>
    <dxf>
      <fill>
        <patternFill>
          <bgColor rgb="FFFFE699"/>
        </patternFill>
      </fill>
    </dxf>
    <dxf>
      <fill>
        <patternFill>
          <bgColor rgb="FFBDD7EE"/>
        </patternFill>
      </fill>
    </dxf>
    <dxf>
      <fill>
        <patternFill>
          <bgColor rgb="FFC6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BE6"/>
      <rgbColor rgb="FFD9D9D9"/>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4B6B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4E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lipid.co.uk/claire-traynor" TargetMode="External"/><Relationship Id="rId117" Type="http://schemas.openxmlformats.org/officeDocument/2006/relationships/hyperlink" Target="https://www.lipid.co.uk/node/739" TargetMode="External"/><Relationship Id="rId21" Type="http://schemas.openxmlformats.org/officeDocument/2006/relationships/hyperlink" Target="https://www.lipid.co.uk/case-studies/omtrygtm-analysis-api-fpp" TargetMode="External"/><Relationship Id="rId42" Type="http://schemas.openxmlformats.org/officeDocument/2006/relationships/hyperlink" Target="https://www.lipid.co.uk/people/julie-sungurtas" TargetMode="External"/><Relationship Id="rId47" Type="http://schemas.openxmlformats.org/officeDocument/2006/relationships/hyperlink" Target="https://www.lipid.co.uk/people/sophie-craig" TargetMode="External"/><Relationship Id="rId63" Type="http://schemas.openxmlformats.org/officeDocument/2006/relationships/hyperlink" Target="https://www.lipid.co.uk/news/issfal-issues-new-guidelines-analysis-blood-status-clinical-research" TargetMode="External"/><Relationship Id="rId68" Type="http://schemas.openxmlformats.org/officeDocument/2006/relationships/hyperlink" Target="https://www.lipid.co.uk/news/mylnefield-lipid-analysis-work-study-characterising-ratfish-liver-oil" TargetMode="External"/><Relationship Id="rId84" Type="http://schemas.openxmlformats.org/officeDocument/2006/relationships/hyperlink" Target="https://www.lipid.co.uk/news/statement-graham-ogg-0" TargetMode="External"/><Relationship Id="rId89" Type="http://schemas.openxmlformats.org/officeDocument/2006/relationships/hyperlink" Target="https://www.lipid.co.uk/events" TargetMode="External"/><Relationship Id="rId112" Type="http://schemas.openxmlformats.org/officeDocument/2006/relationships/hyperlink" Target="https://www.lipid.co.uk/cookie-policy" TargetMode="External"/><Relationship Id="rId16" Type="http://schemas.openxmlformats.org/officeDocument/2006/relationships/hyperlink" Target="https://www.lipid.co.uk/sectors/food-drink" TargetMode="External"/><Relationship Id="rId107" Type="http://schemas.openxmlformats.org/officeDocument/2006/relationships/hyperlink" Target="https://www.lipid.co.uk/slides/rob-winwood-latest-blog" TargetMode="External"/><Relationship Id="rId11" Type="http://schemas.openxmlformats.org/officeDocument/2006/relationships/hyperlink" Target="https://www.lipid.co.uk/services/method-development-validation" TargetMode="External"/><Relationship Id="rId32" Type="http://schemas.openxmlformats.org/officeDocument/2006/relationships/hyperlink" Target="https://www.lipid.co.uk/people/claire-fernie" TargetMode="External"/><Relationship Id="rId37" Type="http://schemas.openxmlformats.org/officeDocument/2006/relationships/hyperlink" Target="https://www.lipid.co.uk/people/dr-rob-winwood" TargetMode="External"/><Relationship Id="rId53" Type="http://schemas.openxmlformats.org/officeDocument/2006/relationships/hyperlink" Target="https://www.lipid.co.uk/news/analytical-chemist-vacancy-1" TargetMode="External"/><Relationship Id="rId58" Type="http://schemas.openxmlformats.org/officeDocument/2006/relationships/hyperlink" Target="https://www.lipid.co.uk/news/eu-amendments-heavy-metals-go-effect" TargetMode="External"/><Relationship Id="rId74" Type="http://schemas.openxmlformats.org/officeDocument/2006/relationships/hyperlink" Target="https://www.lipid.co.uk/news/open-business" TargetMode="External"/><Relationship Id="rId79" Type="http://schemas.openxmlformats.org/officeDocument/2006/relationships/hyperlink" Target="https://www.lipid.co.uk/news/research-article-encapsulated-fish-oil-products-available-uk-meet-regulatory-guidelines" TargetMode="External"/><Relationship Id="rId102" Type="http://schemas.openxmlformats.org/officeDocument/2006/relationships/hyperlink" Target="https://www.lipid.co.uk/slides/latest-blog-oxidised-fish-oil-problem" TargetMode="External"/><Relationship Id="rId5" Type="http://schemas.openxmlformats.org/officeDocument/2006/relationships/hyperlink" Target="https://www.lipid.co.uk/samples" TargetMode="External"/><Relationship Id="rId90" Type="http://schemas.openxmlformats.org/officeDocument/2006/relationships/hyperlink" Target="https://www.lipid.co.uk/events/issfal-2020" TargetMode="External"/><Relationship Id="rId95" Type="http://schemas.openxmlformats.org/officeDocument/2006/relationships/hyperlink" Target="https://www.lipid.co.uk/videos" TargetMode="External"/><Relationship Id="rId22" Type="http://schemas.openxmlformats.org/officeDocument/2006/relationships/hyperlink" Target="https://www.lipid.co.uk/white-papers/white-paper-1" TargetMode="External"/><Relationship Id="rId27" Type="http://schemas.openxmlformats.org/officeDocument/2006/relationships/hyperlink" Target="https://www.lipid.co.uk/people/allan-dick" TargetMode="External"/><Relationship Id="rId43" Type="http://schemas.openxmlformats.org/officeDocument/2006/relationships/hyperlink" Target="https://www.lipid.co.uk/people/kenneth-amayo" TargetMode="External"/><Relationship Id="rId48" Type="http://schemas.openxmlformats.org/officeDocument/2006/relationships/hyperlink" Target="https://www.lipid.co.uk/people/stuart-ramage" TargetMode="External"/><Relationship Id="rId64" Type="http://schemas.openxmlformats.org/officeDocument/2006/relationships/hyperlink" Target="https://www.lipid.co.uk/news/meet-our-newest-team-members" TargetMode="External"/><Relationship Id="rId69" Type="http://schemas.openxmlformats.org/officeDocument/2006/relationships/hyperlink" Target="https://www.lipid.co.uk/news/new-anti-inflammatory-product-created-following-analysis-mylnefield-lipid-analysis" TargetMode="External"/><Relationship Id="rId113" Type="http://schemas.openxmlformats.org/officeDocument/2006/relationships/hyperlink" Target="https://www.lipid.co.uk/freedom-information" TargetMode="External"/><Relationship Id="rId118" Type="http://schemas.openxmlformats.org/officeDocument/2006/relationships/hyperlink" Target="https://www.lipid.co.uk/node/761" TargetMode="External"/><Relationship Id="rId80" Type="http://schemas.openxmlformats.org/officeDocument/2006/relationships/hyperlink" Target="https://www.lipid.co.uk/news/residual-solvents-analysis" TargetMode="External"/><Relationship Id="rId85" Type="http://schemas.openxmlformats.org/officeDocument/2006/relationships/hyperlink" Target="https://www.lipid.co.uk/news/thought-provoking-paper-bmj-potential-effect-food-emulsifiers-cardiovascular-diseases-cvd" TargetMode="External"/><Relationship Id="rId12" Type="http://schemas.openxmlformats.org/officeDocument/2006/relationships/hyperlink" Target="https://www.lipid.co.uk/services/stability" TargetMode="External"/><Relationship Id="rId17" Type="http://schemas.openxmlformats.org/officeDocument/2006/relationships/hyperlink" Target="https://www.lipid.co.uk/sectors/nutraceuticals" TargetMode="External"/><Relationship Id="rId33" Type="http://schemas.openxmlformats.org/officeDocument/2006/relationships/hyperlink" Target="https://www.lipid.co.uk/people/claire-traynor" TargetMode="External"/><Relationship Id="rId38" Type="http://schemas.openxmlformats.org/officeDocument/2006/relationships/hyperlink" Target="https://www.lipid.co.uk/people/finlay-stewart" TargetMode="External"/><Relationship Id="rId59" Type="http://schemas.openxmlformats.org/officeDocument/2006/relationships/hyperlink" Target="https://www.lipid.co.uk/news/gmp-stability-storage-and-testing" TargetMode="External"/><Relationship Id="rId103" Type="http://schemas.openxmlformats.org/officeDocument/2006/relationships/hyperlink" Target="https://www.lipid.co.uk/slides/mla-team-scores-perfect-zero" TargetMode="External"/><Relationship Id="rId108" Type="http://schemas.openxmlformats.org/officeDocument/2006/relationships/hyperlink" Target="https://www.lipid.co.uk/slides/statement-graham-ogg" TargetMode="External"/><Relationship Id="rId54" Type="http://schemas.openxmlformats.org/officeDocument/2006/relationships/hyperlink" Target="https://www.lipid.co.uk/news/another-successful-course-mylnefield-lipid-analysis" TargetMode="External"/><Relationship Id="rId70" Type="http://schemas.openxmlformats.org/officeDocument/2006/relationships/hyperlink" Target="https://www.lipid.co.uk/news/new-database-msu-references-450-plant-fatty-acids" TargetMode="External"/><Relationship Id="rId75" Type="http://schemas.openxmlformats.org/officeDocument/2006/relationships/hyperlink" Target="https://www.lipid.co.uk/news/oxidised-fish" TargetMode="External"/><Relationship Id="rId91" Type="http://schemas.openxmlformats.org/officeDocument/2006/relationships/hyperlink" Target="https://www.lipid.co.uk/events/webinar-lipid-classes-compounds-quality-control-and-contaminants" TargetMode="External"/><Relationship Id="rId96" Type="http://schemas.openxmlformats.org/officeDocument/2006/relationships/hyperlink" Target="https://www.lipid.co.uk/contact-us" TargetMode="External"/><Relationship Id="rId1" Type="http://schemas.openxmlformats.org/officeDocument/2006/relationships/hyperlink" Target="https://www.lipid.co.uk/" TargetMode="External"/><Relationship Id="rId6" Type="http://schemas.openxmlformats.org/officeDocument/2006/relationships/hyperlink" Target="https://www.lipid.co.uk/services/lipid-analysis/meet-team" TargetMode="External"/><Relationship Id="rId23" Type="http://schemas.openxmlformats.org/officeDocument/2006/relationships/hyperlink" Target="https://www.lipid.co.uk/bill-christie" TargetMode="External"/><Relationship Id="rId28" Type="http://schemas.openxmlformats.org/officeDocument/2006/relationships/hyperlink" Target="https://www.lipid.co.uk/people/andrew-kindness" TargetMode="External"/><Relationship Id="rId49" Type="http://schemas.openxmlformats.org/officeDocument/2006/relationships/hyperlink" Target="https://www.lipid.co.uk/people/thomas-taylor" TargetMode="External"/><Relationship Id="rId114" Type="http://schemas.openxmlformats.org/officeDocument/2006/relationships/hyperlink" Target="https://www.lipid.co.uk/node/3" TargetMode="External"/><Relationship Id="rId119" Type="http://schemas.openxmlformats.org/officeDocument/2006/relationships/hyperlink" Target="https://www.lipid.co.uk/test-slide-page" TargetMode="External"/><Relationship Id="rId10" Type="http://schemas.openxmlformats.org/officeDocument/2006/relationships/hyperlink" Target="https://www.lipid.co.uk/services/analyses" TargetMode="External"/><Relationship Id="rId31" Type="http://schemas.openxmlformats.org/officeDocument/2006/relationships/hyperlink" Target="https://www.lipid.co.uk/people/christine-branney" TargetMode="External"/><Relationship Id="rId44" Type="http://schemas.openxmlformats.org/officeDocument/2006/relationships/hyperlink" Target="https://www.lipid.co.uk/people/kirsty-macleod" TargetMode="External"/><Relationship Id="rId52" Type="http://schemas.openxmlformats.org/officeDocument/2006/relationships/hyperlink" Target="https://www.lipid.co.uk/news/25-years-our-story-so-far" TargetMode="External"/><Relationship Id="rId60" Type="http://schemas.openxmlformats.org/officeDocument/2006/relationships/hyperlink" Target="https://www.lipid.co.uk/news/goed-study-puts-rest-toxicity-concerns" TargetMode="External"/><Relationship Id="rId65" Type="http://schemas.openxmlformats.org/officeDocument/2006/relationships/hyperlink" Target="https://www.lipid.co.uk/news/meet-team-claire-traynor-celebrating-25-years" TargetMode="External"/><Relationship Id="rId73" Type="http://schemas.openxmlformats.org/officeDocument/2006/relationships/hyperlink" Target="https://www.lipid.co.uk/news/omega-3-fatty-acid-content-should-be-expressed-weight-not-area-percent-says-goed-industry" TargetMode="External"/><Relationship Id="rId78" Type="http://schemas.openxmlformats.org/officeDocument/2006/relationships/hyperlink" Target="https://www.lipid.co.uk/news/reduce-it-study" TargetMode="External"/><Relationship Id="rId81" Type="http://schemas.openxmlformats.org/officeDocument/2006/relationships/hyperlink" Target="https://www.lipid.co.uk/news/rob-winwood-can-sterols-and-stanols-be-beneficial-heart-health-and-how-do-i-find-out-how-much" TargetMode="External"/><Relationship Id="rId86" Type="http://schemas.openxmlformats.org/officeDocument/2006/relationships/hyperlink" Target="https://www.lipid.co.uk/news/we-are-members-goed" TargetMode="External"/><Relationship Id="rId94" Type="http://schemas.openxmlformats.org/officeDocument/2006/relationships/hyperlink" Target="https://www.lipid.co.uk/25th-anniversary-videos" TargetMode="External"/><Relationship Id="rId99" Type="http://schemas.openxmlformats.org/officeDocument/2006/relationships/hyperlink" Target="https://www.lipid.co.uk/subscribe" TargetMode="External"/><Relationship Id="rId101" Type="http://schemas.openxmlformats.org/officeDocument/2006/relationships/hyperlink" Target="https://www.lipid.co.uk/slides/latest-blog-egg-centric-nutrition-humans" TargetMode="External"/><Relationship Id="rId4" Type="http://schemas.openxmlformats.org/officeDocument/2006/relationships/hyperlink" Target="https://www.lipid.co.uk/quality" TargetMode="External"/><Relationship Id="rId9" Type="http://schemas.openxmlformats.org/officeDocument/2006/relationships/hyperlink" Target="https://www.lipid.co.uk/services" TargetMode="External"/><Relationship Id="rId13" Type="http://schemas.openxmlformats.org/officeDocument/2006/relationships/hyperlink" Target="https://www.lipid.co.uk/sectors" TargetMode="External"/><Relationship Id="rId18" Type="http://schemas.openxmlformats.org/officeDocument/2006/relationships/hyperlink" Target="https://www.lipid.co.uk/sectors/oil-content-and-oil-seed" TargetMode="External"/><Relationship Id="rId39" Type="http://schemas.openxmlformats.org/officeDocument/2006/relationships/hyperlink" Target="https://www.lipid.co.uk/people/gordon-mcdougall" TargetMode="External"/><Relationship Id="rId109" Type="http://schemas.openxmlformats.org/officeDocument/2006/relationships/hyperlink" Target="https://www.lipid.co.uk/slides/testimonials" TargetMode="External"/><Relationship Id="rId34" Type="http://schemas.openxmlformats.org/officeDocument/2006/relationships/hyperlink" Target="https://www.lipid.co.uk/people/demi-elliot" TargetMode="External"/><Relationship Id="rId50" Type="http://schemas.openxmlformats.org/officeDocument/2006/relationships/hyperlink" Target="https://www.lipid.co.uk/people/william-christie" TargetMode="External"/><Relationship Id="rId55" Type="http://schemas.openxmlformats.org/officeDocument/2006/relationships/hyperlink" Target="https://www.lipid.co.uk/news/cannabidiol-safe-daily-dose-limit-cut-food-regulator" TargetMode="External"/><Relationship Id="rId76" Type="http://schemas.openxmlformats.org/officeDocument/2006/relationships/hyperlink" Target="https://www.lipid.co.uk/news/oxidised-fish-oil-problem" TargetMode="External"/><Relationship Id="rId97" Type="http://schemas.openxmlformats.org/officeDocument/2006/relationships/hyperlink" Target="https://www.lipid.co.uk/form/contact/confirmation" TargetMode="External"/><Relationship Id="rId104" Type="http://schemas.openxmlformats.org/officeDocument/2006/relationships/hyperlink" Target="https://www.lipid.co.uk/slides/mylnefield-lipid-analysis" TargetMode="External"/><Relationship Id="rId120" Type="http://schemas.openxmlformats.org/officeDocument/2006/relationships/hyperlink" Target="https://www.lipid.co.uk/sites/www.lipid.co.uk/files/2018-10/Sample%20Submission%20Form%20Oct%202018.pdf" TargetMode="External"/><Relationship Id="rId7" Type="http://schemas.openxmlformats.org/officeDocument/2006/relationships/hyperlink" Target="https://www.lipid.co.uk/testimonials" TargetMode="External"/><Relationship Id="rId71" Type="http://schemas.openxmlformats.org/officeDocument/2006/relationships/hyperlink" Target="https://www.lipid.co.uk/news/new-paper-first-report-quality-and-purity-evaluations-avocado-oil-sold-us" TargetMode="External"/><Relationship Id="rId92" Type="http://schemas.openxmlformats.org/officeDocument/2006/relationships/hyperlink" Target="https://www.lipid.co.uk/register-fatty-acids-lipids-analysis-course" TargetMode="External"/><Relationship Id="rId2" Type="http://schemas.openxmlformats.org/officeDocument/2006/relationships/hyperlink" Target="https://www.lipid.co.uk/about-us" TargetMode="External"/><Relationship Id="rId29" Type="http://schemas.openxmlformats.org/officeDocument/2006/relationships/hyperlink" Target="https://www.lipid.co.uk/people/angus-wilson" TargetMode="External"/><Relationship Id="rId24" Type="http://schemas.openxmlformats.org/officeDocument/2006/relationships/hyperlink" Target="https://www.lipid.co.uk/bill-christie-0" TargetMode="External"/><Relationship Id="rId40" Type="http://schemas.openxmlformats.org/officeDocument/2006/relationships/hyperlink" Target="https://www.lipid.co.uk/people/jean-wilkie" TargetMode="External"/><Relationship Id="rId45" Type="http://schemas.openxmlformats.org/officeDocument/2006/relationships/hyperlink" Target="https://www.lipid.co.uk/people/lucy-asare" TargetMode="External"/><Relationship Id="rId66" Type="http://schemas.openxmlformats.org/officeDocument/2006/relationships/hyperlink" Target="https://www.lipid.co.uk/news/mla-team-scores-perfect-zero-latest-proficiency-testing-cannabis-and-related-products" TargetMode="External"/><Relationship Id="rId87" Type="http://schemas.openxmlformats.org/officeDocument/2006/relationships/hyperlink" Target="https://www.lipid.co.uk/news/were-exhibiting-issfal-congress" TargetMode="External"/><Relationship Id="rId110" Type="http://schemas.openxmlformats.org/officeDocument/2006/relationships/hyperlink" Target="https://www.lipid.co.uk/slides/we-are-members-goed" TargetMode="External"/><Relationship Id="rId115" Type="http://schemas.openxmlformats.org/officeDocument/2006/relationships/hyperlink" Target="https://www.lipid.co.uk/node/604" TargetMode="External"/><Relationship Id="rId61" Type="http://schemas.openxmlformats.org/officeDocument/2006/relationships/hyperlink" Target="https://www.lipid.co.uk/news/heavy-metal-analysis-icp-ms" TargetMode="External"/><Relationship Id="rId82" Type="http://schemas.openxmlformats.org/officeDocument/2006/relationships/hyperlink" Target="https://www.lipid.co.uk/news/rob-winwood-joins-consultant" TargetMode="External"/><Relationship Id="rId19" Type="http://schemas.openxmlformats.org/officeDocument/2006/relationships/hyperlink" Target="https://www.lipid.co.uk/sectors/skin-lipids-and-skin-health" TargetMode="External"/><Relationship Id="rId14" Type="http://schemas.openxmlformats.org/officeDocument/2006/relationships/hyperlink" Target="https://www.lipid.co.uk/sectors/biofuel-analysis" TargetMode="External"/><Relationship Id="rId30" Type="http://schemas.openxmlformats.org/officeDocument/2006/relationships/hyperlink" Target="https://www.lipid.co.uk/people/charlie-scrimgeour" TargetMode="External"/><Relationship Id="rId35" Type="http://schemas.openxmlformats.org/officeDocument/2006/relationships/hyperlink" Target="https://www.lipid.co.uk/people/dr-carol-ann-craig" TargetMode="External"/><Relationship Id="rId56" Type="http://schemas.openxmlformats.org/officeDocument/2006/relationships/hyperlink" Target="https://www.lipid.co.uk/news/dietary-high-oleic-acid-soybean-oil-dose-dependently-attenuates-egg-yolk-content-n-3" TargetMode="External"/><Relationship Id="rId77" Type="http://schemas.openxmlformats.org/officeDocument/2006/relationships/hyperlink" Target="https://www.lipid.co.uk/news/professor-frank-d-gunstone" TargetMode="External"/><Relationship Id="rId100" Type="http://schemas.openxmlformats.org/officeDocument/2006/relationships/hyperlink" Target="https://www.lipid.co.uk/slides/celebrating-25-years" TargetMode="External"/><Relationship Id="rId105" Type="http://schemas.openxmlformats.org/officeDocument/2006/relationships/hyperlink" Target="https://www.lipid.co.uk/slides/new-service-cannabinoid-profiling" TargetMode="External"/><Relationship Id="rId8" Type="http://schemas.openxmlformats.org/officeDocument/2006/relationships/hyperlink" Target="https://www.lipid.co.uk/useful-links" TargetMode="External"/><Relationship Id="rId51" Type="http://schemas.openxmlformats.org/officeDocument/2006/relationships/hyperlink" Target="https://www.lipid.co.uk/news" TargetMode="External"/><Relationship Id="rId72" Type="http://schemas.openxmlformats.org/officeDocument/2006/relationships/hyperlink" Target="https://www.lipid.co.uk/news/new-study-shows-clear-benefit-increased-epa-dha-intake" TargetMode="External"/><Relationship Id="rId93" Type="http://schemas.openxmlformats.org/officeDocument/2006/relationships/hyperlink" Target="https://www.lipid.co.uk/services/training-course" TargetMode="External"/><Relationship Id="rId98" Type="http://schemas.openxmlformats.org/officeDocument/2006/relationships/hyperlink" Target="https://www.lipid.co.uk/new-customer-form" TargetMode="External"/><Relationship Id="rId3" Type="http://schemas.openxmlformats.org/officeDocument/2006/relationships/hyperlink" Target="https://www.lipid.co.uk/james-hutton-limited" TargetMode="External"/><Relationship Id="rId25" Type="http://schemas.openxmlformats.org/officeDocument/2006/relationships/hyperlink" Target="https://www.lipid.co.uk/charlie-scrimgeour" TargetMode="External"/><Relationship Id="rId46" Type="http://schemas.openxmlformats.org/officeDocument/2006/relationships/hyperlink" Target="https://www.lipid.co.uk/people/professor-terry-k-smith" TargetMode="External"/><Relationship Id="rId67" Type="http://schemas.openxmlformats.org/officeDocument/2006/relationships/hyperlink" Target="https://www.lipid.co.uk/news/mylnefield-lipid-analysis-claims-first-place-prestigious-proficiency-testing-programme" TargetMode="External"/><Relationship Id="rId116" Type="http://schemas.openxmlformats.org/officeDocument/2006/relationships/hyperlink" Target="https://www.lipid.co.uk/node/724" TargetMode="External"/><Relationship Id="rId20" Type="http://schemas.openxmlformats.org/officeDocument/2006/relationships/hyperlink" Target="https://www.lipid.co.uk/case-studies" TargetMode="External"/><Relationship Id="rId41" Type="http://schemas.openxmlformats.org/officeDocument/2006/relationships/hyperlink" Target="https://www.lipid.co.uk/people/jennifer-haig" TargetMode="External"/><Relationship Id="rId62" Type="http://schemas.openxmlformats.org/officeDocument/2006/relationships/hyperlink" Target="https://www.lipid.co.uk/news/important-information-regarding-prices-1st-april-2021" TargetMode="External"/><Relationship Id="rId83" Type="http://schemas.openxmlformats.org/officeDocument/2006/relationships/hyperlink" Target="https://www.lipid.co.uk/news/scotlands-life-sciences-awards-2019-call-nominations-now-open" TargetMode="External"/><Relationship Id="rId88" Type="http://schemas.openxmlformats.org/officeDocument/2006/relationships/hyperlink" Target="https://www.lipid.co.uk/news/wishing-sheena-happy-retirement" TargetMode="External"/><Relationship Id="rId111" Type="http://schemas.openxmlformats.org/officeDocument/2006/relationships/hyperlink" Target="https://www.lipid.co.uk/about-website" TargetMode="External"/><Relationship Id="rId15" Type="http://schemas.openxmlformats.org/officeDocument/2006/relationships/hyperlink" Target="https://www.lipid.co.uk/sectors/clinical-samples" TargetMode="External"/><Relationship Id="rId36" Type="http://schemas.openxmlformats.org/officeDocument/2006/relationships/hyperlink" Target="https://www.lipid.co.uk/people/dr-gary-dobson" TargetMode="External"/><Relationship Id="rId57" Type="http://schemas.openxmlformats.org/officeDocument/2006/relationships/hyperlink" Target="https://www.lipid.co.uk/news/egg-centric-nutrition-humans" TargetMode="External"/><Relationship Id="rId106" Type="http://schemas.openxmlformats.org/officeDocument/2006/relationships/hyperlink" Target="https://www.lipid.co.uk/slides/our-laboratory-op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0"/>
  <sheetViews>
    <sheetView tabSelected="1" zoomScaleNormal="100" workbookViewId="0">
      <pane xSplit="2" ySplit="1" topLeftCell="C41" activePane="bottomRight" state="frozen"/>
      <selection pane="topRight" activeCell="C1" sqref="C1"/>
      <selection pane="bottomLeft" activeCell="A2" sqref="A2"/>
      <selection pane="bottomRight" activeCell="D24" sqref="D24"/>
    </sheetView>
  </sheetViews>
  <sheetFormatPr defaultColWidth="8.6328125" defaultRowHeight="14.5" x14ac:dyDescent="0.35"/>
  <cols>
    <col min="1" max="1" width="5" customWidth="1"/>
    <col min="2" max="2" width="46" customWidth="1"/>
    <col min="3" max="3" width="20" customWidth="1"/>
    <col min="4" max="6" width="16" customWidth="1"/>
    <col min="7" max="7" width="58" customWidth="1"/>
    <col min="8" max="9" width="13" customWidth="1"/>
    <col min="10" max="10" width="40" customWidth="1"/>
    <col min="11" max="13" width="14" customWidth="1"/>
    <col min="14" max="14" width="13" customWidth="1"/>
  </cols>
  <sheetData>
    <row r="1" spans="1:14" ht="31.5" customHeight="1" x14ac:dyDescent="0.35">
      <c r="A1" s="1" t="s">
        <v>0</v>
      </c>
      <c r="B1" s="2" t="s">
        <v>1</v>
      </c>
      <c r="C1" s="2" t="s">
        <v>2</v>
      </c>
      <c r="D1" s="2" t="s">
        <v>3</v>
      </c>
      <c r="E1" s="2" t="s">
        <v>4</v>
      </c>
      <c r="F1" s="2" t="s">
        <v>5</v>
      </c>
      <c r="G1" s="2" t="s">
        <v>6</v>
      </c>
      <c r="H1" s="1" t="s">
        <v>7</v>
      </c>
      <c r="I1" s="1" t="s">
        <v>8</v>
      </c>
      <c r="J1" s="2" t="s">
        <v>9</v>
      </c>
      <c r="K1" s="2" t="s">
        <v>10</v>
      </c>
      <c r="L1" s="1" t="s">
        <v>11</v>
      </c>
      <c r="M1" s="1" t="s">
        <v>12</v>
      </c>
      <c r="N1" s="1" t="s">
        <v>13</v>
      </c>
    </row>
    <row r="2" spans="1:14" ht="25" x14ac:dyDescent="0.35">
      <c r="A2" s="3">
        <v>1</v>
      </c>
      <c r="B2" s="4" t="s">
        <v>14</v>
      </c>
      <c r="C2" s="5" t="s">
        <v>15</v>
      </c>
      <c r="D2" s="5" t="s">
        <v>16</v>
      </c>
      <c r="E2" s="6"/>
      <c r="F2" s="5" t="str">
        <f t="shared" ref="F2:F33" si="0">IF(B2="","",IF(E2&lt;&gt;"",E2,D2))</f>
        <v>Rewrite</v>
      </c>
      <c r="G2" s="5" t="s">
        <v>17</v>
      </c>
      <c r="H2" s="3">
        <f>IF($B2="","",IFERROR(INDEX(GSC!$B:$B,MATCH($B2,GSC!$A:$A,0)),0))</f>
        <v>257</v>
      </c>
      <c r="I2" s="3">
        <f>IF($B2="","",IFERROR(INDEX('GA4'!$B:$B,MATCH(SUBSTITUTE($B2,"https://www.lipid.co.uk",""),'GA4'!$A:$A,0)),0))</f>
        <v>2698</v>
      </c>
      <c r="J2" s="6"/>
      <c r="K2" s="6"/>
      <c r="L2" s="7"/>
      <c r="M2" s="3" t="s">
        <v>18</v>
      </c>
      <c r="N2" s="3" t="s">
        <v>19</v>
      </c>
    </row>
    <row r="3" spans="1:14" x14ac:dyDescent="0.35">
      <c r="A3" s="3">
        <v>2</v>
      </c>
      <c r="B3" s="4" t="s">
        <v>20</v>
      </c>
      <c r="C3" s="5" t="s">
        <v>21</v>
      </c>
      <c r="D3" s="5" t="s">
        <v>16</v>
      </c>
      <c r="E3" s="6"/>
      <c r="F3" s="5" t="str">
        <f t="shared" si="0"/>
        <v>Rewrite</v>
      </c>
      <c r="G3" s="5" t="s">
        <v>22</v>
      </c>
      <c r="H3" s="3">
        <f>IF($B3="","",IFERROR(INDEX(GSC!$B:$B,MATCH($B3,GSC!$A:$A,0)),0))</f>
        <v>43</v>
      </c>
      <c r="I3" s="3">
        <f>IF($B3="","",IFERROR(INDEX('GA4'!$B:$B,MATCH(SUBSTITUTE($B3,"https://www.lipid.co.uk",""),'GA4'!$A:$A,0)),0))</f>
        <v>274</v>
      </c>
      <c r="J3" s="6"/>
      <c r="K3" s="6"/>
      <c r="L3" s="7"/>
      <c r="M3" s="3" t="s">
        <v>18</v>
      </c>
      <c r="N3" s="3" t="s">
        <v>19</v>
      </c>
    </row>
    <row r="4" spans="1:14" x14ac:dyDescent="0.35">
      <c r="A4" s="3">
        <v>3</v>
      </c>
      <c r="B4" s="4" t="s">
        <v>23</v>
      </c>
      <c r="C4" s="5" t="s">
        <v>21</v>
      </c>
      <c r="D4" s="5" t="s">
        <v>67</v>
      </c>
      <c r="E4" s="6"/>
      <c r="F4" s="5" t="str">
        <f t="shared" si="0"/>
        <v>Retire</v>
      </c>
      <c r="G4" s="5" t="s">
        <v>25</v>
      </c>
      <c r="H4" s="3">
        <f>IF($B4="","",IFERROR(INDEX(GSC!$B:$B,MATCH($B4,GSC!$A:$A,0)),0))</f>
        <v>7</v>
      </c>
      <c r="I4" s="3">
        <f>IF($B4="","",IFERROR(INDEX('GA4'!$B:$B,MATCH(SUBSTITUTE($B4,"https://www.lipid.co.uk",""),'GA4'!$A:$A,0)),0))</f>
        <v>67</v>
      </c>
      <c r="J4" s="6"/>
      <c r="K4" s="6"/>
      <c r="L4" s="7"/>
      <c r="M4" s="3" t="s">
        <v>18</v>
      </c>
      <c r="N4" s="3" t="s">
        <v>19</v>
      </c>
    </row>
    <row r="5" spans="1:14" ht="25" x14ac:dyDescent="0.35">
      <c r="A5" s="3">
        <v>4</v>
      </c>
      <c r="B5" s="4" t="s">
        <v>26</v>
      </c>
      <c r="C5" s="5" t="s">
        <v>21</v>
      </c>
      <c r="D5" s="5" t="s">
        <v>16</v>
      </c>
      <c r="E5" s="6"/>
      <c r="F5" s="5" t="str">
        <f t="shared" si="0"/>
        <v>Rewrite</v>
      </c>
      <c r="G5" s="5" t="s">
        <v>27</v>
      </c>
      <c r="H5" s="3">
        <f>IF($B5="","",IFERROR(INDEX(GSC!$B:$B,MATCH($B5,GSC!$A:$A,0)),0))</f>
        <v>1</v>
      </c>
      <c r="I5" s="3">
        <f>IF($B5="","",IFERROR(INDEX('GA4'!$B:$B,MATCH(SUBSTITUTE($B5,"https://www.lipid.co.uk",""),'GA4'!$A:$A,0)),0))</f>
        <v>137</v>
      </c>
      <c r="J5" s="6"/>
      <c r="K5" s="6"/>
      <c r="L5" s="7"/>
      <c r="M5" s="3" t="s">
        <v>18</v>
      </c>
      <c r="N5" s="3" t="s">
        <v>19</v>
      </c>
    </row>
    <row r="6" spans="1:14" ht="25" x14ac:dyDescent="0.35">
      <c r="A6" s="3">
        <v>5</v>
      </c>
      <c r="B6" s="4" t="s">
        <v>28</v>
      </c>
      <c r="C6" s="5" t="s">
        <v>21</v>
      </c>
      <c r="D6" s="5" t="s">
        <v>16</v>
      </c>
      <c r="E6" s="6"/>
      <c r="F6" s="5" t="str">
        <f t="shared" si="0"/>
        <v>Rewrite</v>
      </c>
      <c r="G6" s="5" t="s">
        <v>29</v>
      </c>
      <c r="H6" s="3">
        <f>IF($B6="","",IFERROR(INDEX(GSC!$B:$B,MATCH($B6,GSC!$A:$A,0)),0))</f>
        <v>1</v>
      </c>
      <c r="I6" s="3">
        <f>IF($B6="","",IFERROR(INDEX('GA4'!$B:$B,MATCH(SUBSTITUTE($B6,"https://www.lipid.co.uk",""),'GA4'!$A:$A,0)),0))</f>
        <v>118</v>
      </c>
      <c r="J6" s="6"/>
      <c r="K6" s="6"/>
      <c r="L6" s="7"/>
      <c r="M6" s="3" t="s">
        <v>18</v>
      </c>
      <c r="N6" s="3" t="s">
        <v>19</v>
      </c>
    </row>
    <row r="7" spans="1:14" ht="25" x14ac:dyDescent="0.35">
      <c r="A7" s="3">
        <v>6</v>
      </c>
      <c r="B7" s="4" t="s">
        <v>30</v>
      </c>
      <c r="C7" s="5" t="s">
        <v>21</v>
      </c>
      <c r="D7" s="5" t="s">
        <v>24</v>
      </c>
      <c r="E7" s="6"/>
      <c r="F7" s="5" t="str">
        <f t="shared" si="0"/>
        <v>Merge</v>
      </c>
      <c r="G7" s="5" t="s">
        <v>31</v>
      </c>
      <c r="H7" s="3">
        <f>IF($B7="","",IFERROR(INDEX(GSC!$B:$B,MATCH($B7,GSC!$A:$A,0)),0))</f>
        <v>1</v>
      </c>
      <c r="I7" s="3">
        <f>IF($B7="","",IFERROR(INDEX('GA4'!$B:$B,MATCH(SUBSTITUTE($B7,"https://www.lipid.co.uk",""),'GA4'!$A:$A,0)),0))</f>
        <v>62</v>
      </c>
      <c r="J7" s="6"/>
      <c r="K7" s="6"/>
      <c r="L7" s="7"/>
      <c r="M7" s="3" t="s">
        <v>18</v>
      </c>
      <c r="N7" s="3" t="s">
        <v>19</v>
      </c>
    </row>
    <row r="8" spans="1:14" ht="25" x14ac:dyDescent="0.35">
      <c r="A8" s="3">
        <v>7</v>
      </c>
      <c r="B8" s="4" t="s">
        <v>32</v>
      </c>
      <c r="C8" s="5" t="s">
        <v>21</v>
      </c>
      <c r="D8" s="5" t="s">
        <v>16</v>
      </c>
      <c r="E8" s="6"/>
      <c r="F8" s="5" t="str">
        <f t="shared" si="0"/>
        <v>Rewrite</v>
      </c>
      <c r="G8" s="5" t="s">
        <v>33</v>
      </c>
      <c r="H8" s="3">
        <f>IF($B8="","",IFERROR(INDEX(GSC!$B:$B,MATCH($B8,GSC!$A:$A,0)),0))</f>
        <v>4</v>
      </c>
      <c r="I8" s="3">
        <f>IF($B8="","",IFERROR(INDEX('GA4'!$B:$B,MATCH(SUBSTITUTE($B8,"https://www.lipid.co.uk",""),'GA4'!$A:$A,0)),0))</f>
        <v>73</v>
      </c>
      <c r="J8" s="6"/>
      <c r="K8" s="6"/>
      <c r="L8" s="7"/>
      <c r="M8" s="3" t="s">
        <v>18</v>
      </c>
      <c r="N8" s="3" t="s">
        <v>19</v>
      </c>
    </row>
    <row r="9" spans="1:14" ht="25" x14ac:dyDescent="0.35">
      <c r="A9" s="3">
        <v>8</v>
      </c>
      <c r="B9" s="4" t="s">
        <v>34</v>
      </c>
      <c r="C9" s="5" t="s">
        <v>21</v>
      </c>
      <c r="D9" s="5" t="s">
        <v>67</v>
      </c>
      <c r="E9" s="6"/>
      <c r="F9" s="5" t="str">
        <f t="shared" si="0"/>
        <v>Retire</v>
      </c>
      <c r="G9" s="5" t="s">
        <v>36</v>
      </c>
      <c r="H9" s="3">
        <f>IF($B9="","",IFERROR(INDEX(GSC!$B:$B,MATCH($B9,GSC!$A:$A,0)),0))</f>
        <v>0</v>
      </c>
      <c r="I9" s="3">
        <f>IF($B9="","",IFERROR(INDEX('GA4'!$B:$B,MATCH(SUBSTITUTE($B9,"https://www.lipid.co.uk",""),'GA4'!$A:$A,0)),0))</f>
        <v>46</v>
      </c>
      <c r="J9" s="6"/>
      <c r="K9" s="6"/>
      <c r="L9" s="7"/>
      <c r="M9" s="3" t="s">
        <v>18</v>
      </c>
      <c r="N9" s="3" t="s">
        <v>19</v>
      </c>
    </row>
    <row r="10" spans="1:14" x14ac:dyDescent="0.35">
      <c r="A10" s="3">
        <v>9</v>
      </c>
      <c r="B10" s="4" t="s">
        <v>37</v>
      </c>
      <c r="C10" s="5" t="s">
        <v>38</v>
      </c>
      <c r="D10" s="5" t="s">
        <v>16</v>
      </c>
      <c r="E10" s="6"/>
      <c r="F10" s="5" t="str">
        <f t="shared" si="0"/>
        <v>Rewrite</v>
      </c>
      <c r="G10" s="5" t="s">
        <v>39</v>
      </c>
      <c r="H10" s="3">
        <f>IF($B10="","",IFERROR(INDEX(GSC!$B:$B,MATCH($B10,GSC!$A:$A,0)),0))</f>
        <v>4</v>
      </c>
      <c r="I10" s="3">
        <f>IF($B10="","",IFERROR(INDEX('GA4'!$B:$B,MATCH(SUBSTITUTE($B10,"https://www.lipid.co.uk",""),'GA4'!$A:$A,0)),0))</f>
        <v>372</v>
      </c>
      <c r="J10" s="6"/>
      <c r="K10" s="6"/>
      <c r="L10" s="7"/>
      <c r="M10" s="3" t="s">
        <v>18</v>
      </c>
      <c r="N10" s="3" t="s">
        <v>19</v>
      </c>
    </row>
    <row r="11" spans="1:14" x14ac:dyDescent="0.35">
      <c r="A11" s="3">
        <v>10</v>
      </c>
      <c r="B11" s="4" t="s">
        <v>40</v>
      </c>
      <c r="C11" s="5" t="s">
        <v>38</v>
      </c>
      <c r="D11" s="5" t="s">
        <v>16</v>
      </c>
      <c r="E11" s="6"/>
      <c r="F11" s="5" t="str">
        <f t="shared" si="0"/>
        <v>Rewrite</v>
      </c>
      <c r="G11" s="5" t="s">
        <v>39</v>
      </c>
      <c r="H11" s="3">
        <f>IF($B11="","",IFERROR(INDEX(GSC!$B:$B,MATCH($B11,GSC!$A:$A,0)),0))</f>
        <v>16</v>
      </c>
      <c r="I11" s="3">
        <f>IF($B11="","",IFERROR(INDEX('GA4'!$B:$B,MATCH(SUBSTITUTE($B11,"https://www.lipid.co.uk",""),'GA4'!$A:$A,0)),0))</f>
        <v>227</v>
      </c>
      <c r="J11" s="6"/>
      <c r="K11" s="6"/>
      <c r="L11" s="7"/>
      <c r="M11" s="3" t="s">
        <v>18</v>
      </c>
      <c r="N11" s="3" t="s">
        <v>19</v>
      </c>
    </row>
    <row r="12" spans="1:14" ht="25" x14ac:dyDescent="0.35">
      <c r="A12" s="3">
        <v>11</v>
      </c>
      <c r="B12" s="4" t="s">
        <v>41</v>
      </c>
      <c r="C12" s="5" t="s">
        <v>38</v>
      </c>
      <c r="D12" s="5" t="s">
        <v>16</v>
      </c>
      <c r="E12" s="6"/>
      <c r="F12" s="5" t="str">
        <f t="shared" si="0"/>
        <v>Rewrite</v>
      </c>
      <c r="G12" s="5" t="s">
        <v>39</v>
      </c>
      <c r="H12" s="3">
        <f>IF($B12="","",IFERROR(INDEX(GSC!$B:$B,MATCH($B12,GSC!$A:$A,0)),0))</f>
        <v>2</v>
      </c>
      <c r="I12" s="3">
        <f>IF($B12="","",IFERROR(INDEX('GA4'!$B:$B,MATCH(SUBSTITUTE($B12,"https://www.lipid.co.uk",""),'GA4'!$A:$A,0)),0))</f>
        <v>65</v>
      </c>
      <c r="J12" s="6"/>
      <c r="K12" s="6"/>
      <c r="L12" s="7"/>
      <c r="M12" s="3" t="s">
        <v>18</v>
      </c>
      <c r="N12" s="3" t="s">
        <v>19</v>
      </c>
    </row>
    <row r="13" spans="1:14" ht="25" x14ac:dyDescent="0.35">
      <c r="A13" s="3">
        <v>12</v>
      </c>
      <c r="B13" s="4" t="s">
        <v>42</v>
      </c>
      <c r="C13" s="5" t="s">
        <v>38</v>
      </c>
      <c r="D13" s="5" t="s">
        <v>16</v>
      </c>
      <c r="E13" s="6"/>
      <c r="F13" s="5" t="str">
        <f t="shared" si="0"/>
        <v>Rewrite</v>
      </c>
      <c r="G13" s="5" t="s">
        <v>43</v>
      </c>
      <c r="H13" s="3">
        <f>IF($B13="","",IFERROR(INDEX(GSC!$B:$B,MATCH($B13,GSC!$A:$A,0)),0))</f>
        <v>2</v>
      </c>
      <c r="I13" s="3">
        <f>IF($B13="","",IFERROR(INDEX('GA4'!$B:$B,MATCH(SUBSTITUTE($B13,"https://www.lipid.co.uk",""),'GA4'!$A:$A,0)),0))</f>
        <v>31</v>
      </c>
      <c r="J13" s="6"/>
      <c r="K13" s="6"/>
      <c r="L13" s="7"/>
      <c r="M13" s="3" t="s">
        <v>18</v>
      </c>
      <c r="N13" s="3" t="s">
        <v>19</v>
      </c>
    </row>
    <row r="14" spans="1:14" x14ac:dyDescent="0.35">
      <c r="A14" s="3">
        <v>13</v>
      </c>
      <c r="B14" s="4" t="s">
        <v>44</v>
      </c>
      <c r="C14" s="5" t="s">
        <v>45</v>
      </c>
      <c r="D14" s="5" t="s">
        <v>16</v>
      </c>
      <c r="E14" s="6"/>
      <c r="F14" s="5" t="str">
        <f t="shared" si="0"/>
        <v>Rewrite</v>
      </c>
      <c r="G14" s="5" t="s">
        <v>46</v>
      </c>
      <c r="H14" s="3">
        <f>IF($B14="","",IFERROR(INDEX(GSC!$B:$B,MATCH($B14,GSC!$A:$A,0)),0))</f>
        <v>1</v>
      </c>
      <c r="I14" s="3">
        <f>IF($B14="","",IFERROR(INDEX('GA4'!$B:$B,MATCH(SUBSTITUTE($B14,"https://www.lipid.co.uk",""),'GA4'!$A:$A,0)),0))</f>
        <v>211</v>
      </c>
      <c r="J14" s="6"/>
      <c r="K14" s="6"/>
      <c r="L14" s="7"/>
      <c r="M14" s="3" t="s">
        <v>18</v>
      </c>
      <c r="N14" s="3" t="s">
        <v>19</v>
      </c>
    </row>
    <row r="15" spans="1:14" ht="25" x14ac:dyDescent="0.35">
      <c r="A15" s="3">
        <v>14</v>
      </c>
      <c r="B15" s="4" t="s">
        <v>47</v>
      </c>
      <c r="C15" s="5" t="s">
        <v>45</v>
      </c>
      <c r="D15" s="5" t="s">
        <v>16</v>
      </c>
      <c r="E15" s="6"/>
      <c r="F15" s="5" t="str">
        <f t="shared" si="0"/>
        <v>Rewrite</v>
      </c>
      <c r="G15" s="5" t="s">
        <v>48</v>
      </c>
      <c r="H15" s="3">
        <f>IF($B15="","",IFERROR(INDEX(GSC!$B:$B,MATCH($B15,GSC!$A:$A,0)),0))</f>
        <v>2</v>
      </c>
      <c r="I15" s="3">
        <f>IF($B15="","",IFERROR(INDEX('GA4'!$B:$B,MATCH(SUBSTITUTE($B15,"https://www.lipid.co.uk",""),'GA4'!$A:$A,0)),0))</f>
        <v>54</v>
      </c>
      <c r="J15" s="6"/>
      <c r="K15" s="6"/>
      <c r="L15" s="7"/>
      <c r="M15" s="3" t="s">
        <v>18</v>
      </c>
      <c r="N15" s="3" t="s">
        <v>19</v>
      </c>
    </row>
    <row r="16" spans="1:14" ht="25" x14ac:dyDescent="0.35">
      <c r="A16" s="3">
        <v>15</v>
      </c>
      <c r="B16" s="4" t="s">
        <v>49</v>
      </c>
      <c r="C16" s="5" t="s">
        <v>45</v>
      </c>
      <c r="D16" s="5" t="s">
        <v>16</v>
      </c>
      <c r="E16" s="6"/>
      <c r="F16" s="5" t="str">
        <f t="shared" si="0"/>
        <v>Rewrite</v>
      </c>
      <c r="G16" s="5" t="s">
        <v>48</v>
      </c>
      <c r="H16" s="3">
        <f>IF($B16="","",IFERROR(INDEX(GSC!$B:$B,MATCH($B16,GSC!$A:$A,0)),0))</f>
        <v>3</v>
      </c>
      <c r="I16" s="3">
        <f>IF($B16="","",IFERROR(INDEX('GA4'!$B:$B,MATCH(SUBSTITUTE($B16,"https://www.lipid.co.uk",""),'GA4'!$A:$A,0)),0))</f>
        <v>66</v>
      </c>
      <c r="J16" s="6"/>
      <c r="K16" s="6"/>
      <c r="L16" s="7"/>
      <c r="M16" s="3" t="s">
        <v>18</v>
      </c>
      <c r="N16" s="3" t="s">
        <v>19</v>
      </c>
    </row>
    <row r="17" spans="1:14" ht="25" x14ac:dyDescent="0.35">
      <c r="A17" s="3">
        <v>16</v>
      </c>
      <c r="B17" s="4" t="s">
        <v>50</v>
      </c>
      <c r="C17" s="5" t="s">
        <v>45</v>
      </c>
      <c r="D17" s="5" t="s">
        <v>16</v>
      </c>
      <c r="E17" s="6"/>
      <c r="F17" s="5" t="str">
        <f t="shared" si="0"/>
        <v>Rewrite</v>
      </c>
      <c r="G17" s="5" t="s">
        <v>48</v>
      </c>
      <c r="H17" s="3">
        <f>IF($B17="","",IFERROR(INDEX(GSC!$B:$B,MATCH($B17,GSC!$A:$A,0)),0))</f>
        <v>0</v>
      </c>
      <c r="I17" s="3">
        <f>IF($B17="","",IFERROR(INDEX('GA4'!$B:$B,MATCH(SUBSTITUTE($B17,"https://www.lipid.co.uk",""),'GA4'!$A:$A,0)),0))</f>
        <v>55</v>
      </c>
      <c r="J17" s="6"/>
      <c r="K17" s="6"/>
      <c r="L17" s="7"/>
      <c r="M17" s="3" t="s">
        <v>18</v>
      </c>
      <c r="N17" s="3" t="s">
        <v>19</v>
      </c>
    </row>
    <row r="18" spans="1:14" ht="25" x14ac:dyDescent="0.35">
      <c r="A18" s="3">
        <v>17</v>
      </c>
      <c r="B18" s="4" t="s">
        <v>51</v>
      </c>
      <c r="C18" s="5" t="s">
        <v>45</v>
      </c>
      <c r="D18" s="5" t="s">
        <v>16</v>
      </c>
      <c r="E18" s="6"/>
      <c r="F18" s="5" t="str">
        <f t="shared" si="0"/>
        <v>Rewrite</v>
      </c>
      <c r="G18" s="5" t="s">
        <v>48</v>
      </c>
      <c r="H18" s="3">
        <f>IF($B18="","",IFERROR(INDEX(GSC!$B:$B,MATCH($B18,GSC!$A:$A,0)),0))</f>
        <v>1</v>
      </c>
      <c r="I18" s="3">
        <f>IF($B18="","",IFERROR(INDEX('GA4'!$B:$B,MATCH(SUBSTITUTE($B18,"https://www.lipid.co.uk",""),'GA4'!$A:$A,0)),0))</f>
        <v>48</v>
      </c>
      <c r="J18" s="6"/>
      <c r="K18" s="6"/>
      <c r="L18" s="7"/>
      <c r="M18" s="3" t="s">
        <v>18</v>
      </c>
      <c r="N18" s="3" t="s">
        <v>19</v>
      </c>
    </row>
    <row r="19" spans="1:14" ht="25" x14ac:dyDescent="0.35">
      <c r="A19" s="3">
        <v>18</v>
      </c>
      <c r="B19" s="4" t="s">
        <v>52</v>
      </c>
      <c r="C19" s="5" t="s">
        <v>45</v>
      </c>
      <c r="D19" s="5" t="s">
        <v>16</v>
      </c>
      <c r="E19" s="6"/>
      <c r="F19" s="5" t="str">
        <f t="shared" si="0"/>
        <v>Rewrite</v>
      </c>
      <c r="G19" s="5" t="s">
        <v>48</v>
      </c>
      <c r="H19" s="3">
        <f>IF($B19="","",IFERROR(INDEX(GSC!$B:$B,MATCH($B19,GSC!$A:$A,0)),0))</f>
        <v>4</v>
      </c>
      <c r="I19" s="3">
        <f>IF($B19="","",IFERROR(INDEX('GA4'!$B:$B,MATCH(SUBSTITUTE($B19,"https://www.lipid.co.uk",""),'GA4'!$A:$A,0)),0))</f>
        <v>60</v>
      </c>
      <c r="J19" s="6"/>
      <c r="K19" s="6"/>
      <c r="L19" s="7"/>
      <c r="M19" s="3" t="s">
        <v>18</v>
      </c>
      <c r="N19" s="3" t="s">
        <v>19</v>
      </c>
    </row>
    <row r="20" spans="1:14" ht="25" x14ac:dyDescent="0.35">
      <c r="A20" s="3">
        <v>19</v>
      </c>
      <c r="B20" s="4" t="s">
        <v>53</v>
      </c>
      <c r="C20" s="5" t="s">
        <v>45</v>
      </c>
      <c r="D20" s="5" t="s">
        <v>16</v>
      </c>
      <c r="E20" s="6"/>
      <c r="F20" s="5" t="str">
        <f t="shared" si="0"/>
        <v>Rewrite</v>
      </c>
      <c r="G20" s="5" t="s">
        <v>48</v>
      </c>
      <c r="H20" s="3">
        <f>IF($B20="","",IFERROR(INDEX(GSC!$B:$B,MATCH($B20,GSC!$A:$A,0)),0))</f>
        <v>0</v>
      </c>
      <c r="I20" s="3">
        <f>IF($B20="","",IFERROR(INDEX('GA4'!$B:$B,MATCH(SUBSTITUTE($B20,"https://www.lipid.co.uk",""),'GA4'!$A:$A,0)),0))</f>
        <v>47</v>
      </c>
      <c r="J20" s="6"/>
      <c r="K20" s="6"/>
      <c r="L20" s="7"/>
      <c r="M20" s="3" t="s">
        <v>18</v>
      </c>
      <c r="N20" s="3" t="s">
        <v>19</v>
      </c>
    </row>
    <row r="21" spans="1:14" x14ac:dyDescent="0.35">
      <c r="A21" s="3">
        <v>20</v>
      </c>
      <c r="B21" s="4" t="s">
        <v>54</v>
      </c>
      <c r="C21" s="5" t="s">
        <v>55</v>
      </c>
      <c r="D21" s="5" t="s">
        <v>16</v>
      </c>
      <c r="E21" s="6"/>
      <c r="F21" s="5" t="str">
        <f t="shared" si="0"/>
        <v>Rewrite</v>
      </c>
      <c r="G21" s="5" t="s">
        <v>56</v>
      </c>
      <c r="H21" s="3">
        <f>IF($B21="","",IFERROR(INDEX(GSC!$B:$B,MATCH($B21,GSC!$A:$A,0)),0))</f>
        <v>0</v>
      </c>
      <c r="I21" s="3">
        <f>IF($B21="","",IFERROR(INDEX('GA4'!$B:$B,MATCH(SUBSTITUTE($B21,"https://www.lipid.co.uk",""),'GA4'!$A:$A,0)),0))</f>
        <v>3</v>
      </c>
      <c r="J21" s="6"/>
      <c r="K21" s="6"/>
      <c r="L21" s="7"/>
      <c r="M21" s="3" t="s">
        <v>18</v>
      </c>
      <c r="N21" s="3" t="s">
        <v>19</v>
      </c>
    </row>
    <row r="22" spans="1:14" ht="25" x14ac:dyDescent="0.35">
      <c r="A22" s="3">
        <v>21</v>
      </c>
      <c r="B22" s="4" t="s">
        <v>57</v>
      </c>
      <c r="C22" s="5" t="s">
        <v>55</v>
      </c>
      <c r="D22" s="5" t="s">
        <v>58</v>
      </c>
      <c r="E22" s="6"/>
      <c r="F22" s="5" t="str">
        <f t="shared" si="0"/>
        <v>Migrate as is</v>
      </c>
      <c r="G22" s="5" t="s">
        <v>59</v>
      </c>
      <c r="H22" s="3">
        <f>IF($B22="","",IFERROR(INDEX(GSC!$B:$B,MATCH($B22,GSC!$A:$A,0)),0))</f>
        <v>3</v>
      </c>
      <c r="I22" s="3">
        <f>IF($B22="","",IFERROR(INDEX('GA4'!$B:$B,MATCH(SUBSTITUTE($B22,"https://www.lipid.co.uk",""),'GA4'!$A:$A,0)),0))</f>
        <v>37</v>
      </c>
      <c r="J22" s="6"/>
      <c r="K22" s="6"/>
      <c r="L22" s="7"/>
      <c r="M22" s="3" t="s">
        <v>18</v>
      </c>
      <c r="N22" s="3" t="s">
        <v>19</v>
      </c>
    </row>
    <row r="23" spans="1:14" ht="25" x14ac:dyDescent="0.35">
      <c r="A23" s="3">
        <v>22</v>
      </c>
      <c r="B23" s="5" t="s">
        <v>60</v>
      </c>
      <c r="C23" s="5" t="s">
        <v>61</v>
      </c>
      <c r="D23" s="5" t="s">
        <v>16</v>
      </c>
      <c r="E23" s="6"/>
      <c r="F23" s="5" t="str">
        <f t="shared" si="0"/>
        <v>Rewrite</v>
      </c>
      <c r="G23" s="5" t="s">
        <v>62</v>
      </c>
      <c r="H23" s="3">
        <f>IF($B23="","",IFERROR(INDEX(GSC!$B:$B,MATCH($B23,GSC!$A:$A,0)),0))</f>
        <v>0</v>
      </c>
      <c r="I23" s="3">
        <f>IF($B23="","",IFERROR(INDEX('GA4'!$B:$B,MATCH(SUBSTITUTE($B23,"https://www.lipid.co.uk",""),'GA4'!$A:$A,0)),0))</f>
        <v>0</v>
      </c>
      <c r="J23" s="6"/>
      <c r="K23" s="6"/>
      <c r="L23" s="7"/>
      <c r="M23" s="3" t="s">
        <v>18</v>
      </c>
      <c r="N23" s="3" t="s">
        <v>19</v>
      </c>
    </row>
    <row r="24" spans="1:14" ht="25" x14ac:dyDescent="0.35">
      <c r="A24" s="3">
        <v>23</v>
      </c>
      <c r="B24" s="5" t="s">
        <v>63</v>
      </c>
      <c r="C24" s="5" t="s">
        <v>61</v>
      </c>
      <c r="D24" s="5" t="s">
        <v>67</v>
      </c>
      <c r="E24" s="6"/>
      <c r="F24" s="5" t="str">
        <f t="shared" si="0"/>
        <v>Retire</v>
      </c>
      <c r="G24" s="5" t="s">
        <v>64</v>
      </c>
      <c r="H24" s="3">
        <f>IF($B24="","",IFERROR(INDEX(GSC!$B:$B,MATCH($B24,GSC!$A:$A,0)),0))</f>
        <v>0</v>
      </c>
      <c r="I24" s="3">
        <f>IF($B24="","",IFERROR(INDEX('GA4'!$B:$B,MATCH(SUBSTITUTE($B24,"https://www.lipid.co.uk",""),'GA4'!$A:$A,0)),0))</f>
        <v>0</v>
      </c>
      <c r="J24" s="6"/>
      <c r="K24" s="6"/>
      <c r="L24" s="7"/>
      <c r="M24" s="3" t="s">
        <v>18</v>
      </c>
      <c r="N24" s="3" t="s">
        <v>19</v>
      </c>
    </row>
    <row r="25" spans="1:14" ht="25" x14ac:dyDescent="0.35">
      <c r="A25" s="3">
        <v>24</v>
      </c>
      <c r="B25" s="5" t="s">
        <v>65</v>
      </c>
      <c r="C25" s="5" t="s">
        <v>61</v>
      </c>
      <c r="D25" s="5" t="s">
        <v>67</v>
      </c>
      <c r="E25" s="6"/>
      <c r="F25" s="5" t="str">
        <f t="shared" si="0"/>
        <v>Retire</v>
      </c>
      <c r="G25" s="5" t="s">
        <v>64</v>
      </c>
      <c r="H25" s="3">
        <f>IF($B25="","",IFERROR(INDEX(GSC!$B:$B,MATCH($B25,GSC!$A:$A,0)),0))</f>
        <v>0</v>
      </c>
      <c r="I25" s="3">
        <f>IF($B25="","",IFERROR(INDEX('GA4'!$B:$B,MATCH(SUBSTITUTE($B25,"https://www.lipid.co.uk",""),'GA4'!$A:$A,0)),0))</f>
        <v>0</v>
      </c>
      <c r="J25" s="6"/>
      <c r="K25" s="6"/>
      <c r="L25" s="7"/>
      <c r="M25" s="3" t="s">
        <v>18</v>
      </c>
      <c r="N25" s="3" t="s">
        <v>19</v>
      </c>
    </row>
    <row r="26" spans="1:14" ht="37.5" x14ac:dyDescent="0.35">
      <c r="A26" s="3">
        <v>25</v>
      </c>
      <c r="B26" s="5" t="s">
        <v>66</v>
      </c>
      <c r="C26" s="5" t="s">
        <v>61</v>
      </c>
      <c r="D26" s="5" t="s">
        <v>67</v>
      </c>
      <c r="E26" s="6"/>
      <c r="F26" s="5" t="str">
        <f t="shared" si="0"/>
        <v>Retire</v>
      </c>
      <c r="G26" s="5" t="s">
        <v>68</v>
      </c>
      <c r="H26" s="3">
        <f>IF($B26="","",IFERROR(INDEX(GSC!$B:$B,MATCH($B26,GSC!$A:$A,0)),0))</f>
        <v>0</v>
      </c>
      <c r="I26" s="3">
        <f>IF($B26="","",IFERROR(INDEX('GA4'!$B:$B,MATCH(SUBSTITUTE($B26,"https://www.lipid.co.uk",""),'GA4'!$A:$A,0)),0))</f>
        <v>0</v>
      </c>
      <c r="J26" s="6"/>
      <c r="K26" s="6"/>
      <c r="L26" s="7"/>
      <c r="M26" s="3" t="s">
        <v>18</v>
      </c>
      <c r="N26" s="3" t="s">
        <v>19</v>
      </c>
    </row>
    <row r="27" spans="1:14" ht="29" x14ac:dyDescent="0.35">
      <c r="A27" s="3">
        <v>26</v>
      </c>
      <c r="B27" s="21" t="s">
        <v>69</v>
      </c>
      <c r="C27" s="5" t="s">
        <v>61</v>
      </c>
      <c r="D27" s="5" t="s">
        <v>16</v>
      </c>
      <c r="E27" s="6"/>
      <c r="F27" s="5" t="str">
        <f t="shared" si="0"/>
        <v>Rewrite</v>
      </c>
      <c r="G27" s="5" t="s">
        <v>62</v>
      </c>
      <c r="H27" s="3">
        <f>IF($B27="","",IFERROR(INDEX(GSC!$B:$B,MATCH($B27,GSC!$A:$A,0)),0))</f>
        <v>1</v>
      </c>
      <c r="I27" s="3">
        <f>IF($B27="","",IFERROR(INDEX('GA4'!$B:$B,MATCH(SUBSTITUTE($B27,"https://www.lipid.co.uk",""),'GA4'!$A:$A,0)),0))</f>
        <v>0</v>
      </c>
      <c r="J27" s="6"/>
      <c r="K27" s="6"/>
      <c r="L27" s="7"/>
      <c r="M27" s="3" t="s">
        <v>18</v>
      </c>
      <c r="N27" s="3" t="s">
        <v>19</v>
      </c>
    </row>
    <row r="28" spans="1:14" ht="25" x14ac:dyDescent="0.35">
      <c r="A28" s="3">
        <v>27</v>
      </c>
      <c r="B28" s="5" t="s">
        <v>70</v>
      </c>
      <c r="C28" s="5" t="s">
        <v>61</v>
      </c>
      <c r="D28" s="5" t="s">
        <v>67</v>
      </c>
      <c r="E28" s="6"/>
      <c r="F28" s="5" t="str">
        <f t="shared" si="0"/>
        <v>Retire</v>
      </c>
      <c r="G28" s="5" t="s">
        <v>71</v>
      </c>
      <c r="H28" s="3">
        <f>IF($B28="","",IFERROR(INDEX(GSC!$B:$B,MATCH($B28,GSC!$A:$A,0)),0))</f>
        <v>17</v>
      </c>
      <c r="I28" s="3">
        <f>IF($B28="","",IFERROR(INDEX('GA4'!$B:$B,MATCH(SUBSTITUTE($B28,"https://www.lipid.co.uk",""),'GA4'!$A:$A,0)),0))</f>
        <v>0</v>
      </c>
      <c r="J28" s="6"/>
      <c r="K28" s="6"/>
      <c r="L28" s="7"/>
      <c r="M28" s="3" t="s">
        <v>18</v>
      </c>
      <c r="N28" s="3" t="s">
        <v>19</v>
      </c>
    </row>
    <row r="29" spans="1:14" ht="25" x14ac:dyDescent="0.35">
      <c r="A29" s="3">
        <v>28</v>
      </c>
      <c r="B29" s="4" t="s">
        <v>72</v>
      </c>
      <c r="C29" s="5" t="s">
        <v>61</v>
      </c>
      <c r="D29" s="5" t="s">
        <v>58</v>
      </c>
      <c r="E29" s="6"/>
      <c r="F29" s="5" t="str">
        <f t="shared" si="0"/>
        <v>Migrate as is</v>
      </c>
      <c r="G29" s="5" t="s">
        <v>73</v>
      </c>
      <c r="H29" s="3">
        <f>IF($B29="","",IFERROR(INDEX(GSC!$B:$B,MATCH($B29,GSC!$A:$A,0)),0))</f>
        <v>5</v>
      </c>
      <c r="I29" s="3">
        <f>IF($B29="","",IFERROR(INDEX('GA4'!$B:$B,MATCH(SUBSTITUTE($B29,"https://www.lipid.co.uk",""),'GA4'!$A:$A,0)),0))</f>
        <v>49</v>
      </c>
      <c r="J29" s="6"/>
      <c r="K29" s="6"/>
      <c r="L29" s="7"/>
      <c r="M29" s="3" t="s">
        <v>18</v>
      </c>
      <c r="N29" s="3" t="s">
        <v>19</v>
      </c>
    </row>
    <row r="30" spans="1:14" ht="25" x14ac:dyDescent="0.35">
      <c r="A30" s="3">
        <v>29</v>
      </c>
      <c r="B30" s="4" t="s">
        <v>74</v>
      </c>
      <c r="C30" s="5" t="s">
        <v>75</v>
      </c>
      <c r="D30" s="5" t="s">
        <v>24</v>
      </c>
      <c r="E30" s="6"/>
      <c r="F30" s="5" t="str">
        <f t="shared" si="0"/>
        <v>Merge</v>
      </c>
      <c r="G30" s="5" t="s">
        <v>76</v>
      </c>
      <c r="H30" s="3">
        <f>IF($B30="","",IFERROR(INDEX(GSC!$B:$B,MATCH($B30,GSC!$A:$A,0)),0))</f>
        <v>39</v>
      </c>
      <c r="I30" s="3">
        <f>IF($B30="","",IFERROR(INDEX('GA4'!$B:$B,MATCH(SUBSTITUTE($B30,"https://www.lipid.co.uk",""),'GA4'!$A:$A,0)),0))</f>
        <v>73</v>
      </c>
      <c r="J30" s="6"/>
      <c r="K30" s="6"/>
      <c r="L30" s="7"/>
      <c r="M30" s="3" t="s">
        <v>18</v>
      </c>
      <c r="N30" s="3" t="s">
        <v>19</v>
      </c>
    </row>
    <row r="31" spans="1:14" ht="37.5" x14ac:dyDescent="0.35">
      <c r="A31" s="3">
        <v>30</v>
      </c>
      <c r="B31" s="4" t="s">
        <v>77</v>
      </c>
      <c r="C31" s="5" t="s">
        <v>75</v>
      </c>
      <c r="D31" s="5" t="s">
        <v>24</v>
      </c>
      <c r="E31" s="6"/>
      <c r="F31" s="5" t="str">
        <f t="shared" si="0"/>
        <v>Merge</v>
      </c>
      <c r="G31" s="5" t="s">
        <v>78</v>
      </c>
      <c r="H31" s="3">
        <f>IF($B31="","",IFERROR(INDEX(GSC!$B:$B,MATCH($B31,GSC!$A:$A,0)),0))</f>
        <v>72</v>
      </c>
      <c r="I31" s="3">
        <f>IF($B31="","",IFERROR(INDEX('GA4'!$B:$B,MATCH(SUBSTITUTE($B31,"https://www.lipid.co.uk",""),'GA4'!$A:$A,0)),0))</f>
        <v>106</v>
      </c>
      <c r="J31" s="6"/>
      <c r="K31" s="6"/>
      <c r="L31" s="7"/>
      <c r="M31" s="3" t="s">
        <v>18</v>
      </c>
      <c r="N31" s="3" t="s">
        <v>19</v>
      </c>
    </row>
    <row r="32" spans="1:14" ht="25" x14ac:dyDescent="0.35">
      <c r="A32" s="3">
        <v>31</v>
      </c>
      <c r="B32" s="4" t="s">
        <v>79</v>
      </c>
      <c r="C32" s="5" t="s">
        <v>75</v>
      </c>
      <c r="D32" s="5" t="s">
        <v>67</v>
      </c>
      <c r="E32" s="6"/>
      <c r="F32" s="5" t="str">
        <f t="shared" si="0"/>
        <v>Retire</v>
      </c>
      <c r="G32" s="5" t="s">
        <v>80</v>
      </c>
      <c r="H32" s="3">
        <f>IF($B32="","",IFERROR(INDEX(GSC!$B:$B,MATCH($B32,GSC!$A:$A,0)),0))</f>
        <v>5</v>
      </c>
      <c r="I32" s="3">
        <f>IF($B32="","",IFERROR(INDEX('GA4'!$B:$B,MATCH(SUBSTITUTE($B32,"https://www.lipid.co.uk",""),'GA4'!$A:$A,0)),0))</f>
        <v>21</v>
      </c>
      <c r="J32" s="6"/>
      <c r="K32" s="6"/>
      <c r="L32" s="7"/>
      <c r="M32" s="3" t="s">
        <v>18</v>
      </c>
      <c r="N32" s="3" t="s">
        <v>19</v>
      </c>
    </row>
    <row r="33" spans="1:14" ht="25" x14ac:dyDescent="0.35">
      <c r="A33" s="3">
        <v>32</v>
      </c>
      <c r="B33" s="4" t="s">
        <v>81</v>
      </c>
      <c r="C33" s="5" t="s">
        <v>75</v>
      </c>
      <c r="D33" s="5" t="s">
        <v>24</v>
      </c>
      <c r="E33" s="6"/>
      <c r="F33" s="5" t="str">
        <f t="shared" si="0"/>
        <v>Merge</v>
      </c>
      <c r="G33" s="5" t="s">
        <v>82</v>
      </c>
      <c r="H33" s="3">
        <f>IF($B33="","",IFERROR(INDEX(GSC!$B:$B,MATCH($B33,GSC!$A:$A,0)),0))</f>
        <v>20</v>
      </c>
      <c r="I33" s="3">
        <f>IF($B33="","",IFERROR(INDEX('GA4'!$B:$B,MATCH(SUBSTITUTE($B33,"https://www.lipid.co.uk",""),'GA4'!$A:$A,0)),0))</f>
        <v>25</v>
      </c>
      <c r="J33" s="6"/>
      <c r="K33" s="6"/>
      <c r="L33" s="7"/>
      <c r="M33" s="3" t="s">
        <v>18</v>
      </c>
      <c r="N33" s="3" t="s">
        <v>19</v>
      </c>
    </row>
    <row r="34" spans="1:14" ht="25" x14ac:dyDescent="0.35">
      <c r="A34" s="3">
        <v>33</v>
      </c>
      <c r="B34" s="4" t="s">
        <v>83</v>
      </c>
      <c r="C34" s="5" t="s">
        <v>75</v>
      </c>
      <c r="D34" s="5" t="s">
        <v>16</v>
      </c>
      <c r="E34" s="6"/>
      <c r="F34" s="5" t="str">
        <f t="shared" ref="F34:F65" si="1">IF(B34="","",IF(E34&lt;&gt;"",E34,D34))</f>
        <v>Rewrite</v>
      </c>
      <c r="G34" s="5" t="s">
        <v>84</v>
      </c>
      <c r="H34" s="3">
        <f>IF($B34="","",IFERROR(INDEX(GSC!$B:$B,MATCH($B34,GSC!$A:$A,0)),0))</f>
        <v>4</v>
      </c>
      <c r="I34" s="3">
        <f>IF($B34="","",IFERROR(INDEX('GA4'!$B:$B,MATCH(SUBSTITUTE($B34,"https://www.lipid.co.uk",""),'GA4'!$A:$A,0)),0))</f>
        <v>12</v>
      </c>
      <c r="J34" s="6"/>
      <c r="K34" s="6"/>
      <c r="L34" s="7"/>
      <c r="M34" s="3" t="s">
        <v>18</v>
      </c>
      <c r="N34" s="3" t="s">
        <v>19</v>
      </c>
    </row>
    <row r="35" spans="1:14" ht="25" x14ac:dyDescent="0.35">
      <c r="A35" s="3">
        <v>34</v>
      </c>
      <c r="B35" s="4" t="s">
        <v>85</v>
      </c>
      <c r="C35" s="5" t="s">
        <v>75</v>
      </c>
      <c r="D35" s="5" t="s">
        <v>67</v>
      </c>
      <c r="E35" s="6"/>
      <c r="F35" s="5" t="str">
        <f t="shared" si="1"/>
        <v>Retire</v>
      </c>
      <c r="G35" s="5" t="s">
        <v>84</v>
      </c>
      <c r="H35" s="3">
        <f>IF($B35="","",IFERROR(INDEX(GSC!$B:$B,MATCH($B35,GSC!$A:$A,0)),0))</f>
        <v>0</v>
      </c>
      <c r="I35" s="3">
        <f>IF($B35="","",IFERROR(INDEX('GA4'!$B:$B,MATCH(SUBSTITUTE($B35,"https://www.lipid.co.uk",""),'GA4'!$A:$A,0)),0))</f>
        <v>0</v>
      </c>
      <c r="J35" s="6"/>
      <c r="K35" s="6"/>
      <c r="L35" s="7"/>
      <c r="M35" s="3" t="s">
        <v>18</v>
      </c>
      <c r="N35" s="3" t="s">
        <v>19</v>
      </c>
    </row>
    <row r="36" spans="1:14" ht="25" x14ac:dyDescent="0.35">
      <c r="A36" s="3">
        <v>35</v>
      </c>
      <c r="B36" s="4" t="s">
        <v>86</v>
      </c>
      <c r="C36" s="5" t="s">
        <v>75</v>
      </c>
      <c r="D36" s="5" t="s">
        <v>67</v>
      </c>
      <c r="E36" s="6"/>
      <c r="F36" s="5" t="str">
        <f t="shared" si="1"/>
        <v>Retire</v>
      </c>
      <c r="G36" s="5" t="s">
        <v>84</v>
      </c>
      <c r="H36" s="3">
        <f>IF($B36="","",IFERROR(INDEX(GSC!$B:$B,MATCH($B36,GSC!$A:$A,0)),0))</f>
        <v>0</v>
      </c>
      <c r="I36" s="3">
        <f>IF($B36="","",IFERROR(INDEX('GA4'!$B:$B,MATCH(SUBSTITUTE($B36,"https://www.lipid.co.uk",""),'GA4'!$A:$A,0)),0))</f>
        <v>0</v>
      </c>
      <c r="J36" s="6"/>
      <c r="K36" s="6"/>
      <c r="L36" s="7"/>
      <c r="M36" s="3" t="s">
        <v>18</v>
      </c>
      <c r="N36" s="3" t="s">
        <v>19</v>
      </c>
    </row>
    <row r="37" spans="1:14" ht="25" x14ac:dyDescent="0.35">
      <c r="A37" s="3">
        <v>36</v>
      </c>
      <c r="B37" s="4" t="s">
        <v>87</v>
      </c>
      <c r="C37" s="5" t="s">
        <v>75</v>
      </c>
      <c r="D37" s="5" t="s">
        <v>67</v>
      </c>
      <c r="E37" s="6"/>
      <c r="F37" s="5" t="str">
        <f t="shared" si="1"/>
        <v>Retire</v>
      </c>
      <c r="G37" s="5" t="s">
        <v>84</v>
      </c>
      <c r="H37" s="3">
        <f>IF($B37="","",IFERROR(INDEX(GSC!$B:$B,MATCH($B37,GSC!$A:$A,0)),0))</f>
        <v>0</v>
      </c>
      <c r="I37" s="3">
        <f>IF($B37="","",IFERROR(INDEX('GA4'!$B:$B,MATCH(SUBSTITUTE($B37,"https://www.lipid.co.uk",""),'GA4'!$A:$A,0)),0))</f>
        <v>0</v>
      </c>
      <c r="J37" s="6"/>
      <c r="K37" s="6"/>
      <c r="L37" s="7"/>
      <c r="M37" s="3" t="s">
        <v>18</v>
      </c>
      <c r="N37" s="3" t="s">
        <v>19</v>
      </c>
    </row>
    <row r="38" spans="1:14" ht="25" x14ac:dyDescent="0.35">
      <c r="A38" s="3">
        <v>37</v>
      </c>
      <c r="B38" s="4" t="s">
        <v>88</v>
      </c>
      <c r="C38" s="5" t="s">
        <v>75</v>
      </c>
      <c r="D38" s="5" t="s">
        <v>16</v>
      </c>
      <c r="E38" s="6"/>
      <c r="F38" s="5" t="str">
        <f t="shared" si="1"/>
        <v>Rewrite</v>
      </c>
      <c r="G38" s="5" t="s">
        <v>84</v>
      </c>
      <c r="H38" s="3">
        <f>IF($B38="","",IFERROR(INDEX(GSC!$B:$B,MATCH($B38,GSC!$A:$A,0)),0))</f>
        <v>0</v>
      </c>
      <c r="I38" s="3">
        <f>IF($B38="","",IFERROR(INDEX('GA4'!$B:$B,MATCH(SUBSTITUTE($B38,"https://www.lipid.co.uk",""),'GA4'!$A:$A,0)),0))</f>
        <v>1</v>
      </c>
      <c r="J38" s="6"/>
      <c r="K38" s="6"/>
      <c r="L38" s="7"/>
      <c r="M38" s="3" t="s">
        <v>18</v>
      </c>
      <c r="N38" s="3" t="s">
        <v>19</v>
      </c>
    </row>
    <row r="39" spans="1:14" ht="25" x14ac:dyDescent="0.35">
      <c r="A39" s="3">
        <v>38</v>
      </c>
      <c r="B39" s="4" t="s">
        <v>89</v>
      </c>
      <c r="C39" s="5" t="s">
        <v>75</v>
      </c>
      <c r="D39" s="5" t="s">
        <v>16</v>
      </c>
      <c r="E39" s="6"/>
      <c r="F39" s="5" t="str">
        <f t="shared" si="1"/>
        <v>Rewrite</v>
      </c>
      <c r="G39" s="5" t="s">
        <v>84</v>
      </c>
      <c r="H39" s="3">
        <f>IF($B39="","",IFERROR(INDEX(GSC!$B:$B,MATCH($B39,GSC!$A:$A,0)),0))</f>
        <v>0</v>
      </c>
      <c r="I39" s="3">
        <f>IF($B39="","",IFERROR(INDEX('GA4'!$B:$B,MATCH(SUBSTITUTE($B39,"https://www.lipid.co.uk",""),'GA4'!$A:$A,0)),0))</f>
        <v>0</v>
      </c>
      <c r="J39" s="6"/>
      <c r="K39" s="6"/>
      <c r="L39" s="7"/>
      <c r="M39" s="3" t="s">
        <v>18</v>
      </c>
      <c r="N39" s="3" t="s">
        <v>19</v>
      </c>
    </row>
    <row r="40" spans="1:14" ht="25" x14ac:dyDescent="0.35">
      <c r="A40" s="3">
        <v>39</v>
      </c>
      <c r="B40" s="4" t="s">
        <v>90</v>
      </c>
      <c r="C40" s="5" t="s">
        <v>75</v>
      </c>
      <c r="D40" s="5" t="s">
        <v>16</v>
      </c>
      <c r="E40" s="6"/>
      <c r="F40" s="5" t="str">
        <f t="shared" si="1"/>
        <v>Rewrite</v>
      </c>
      <c r="G40" s="5" t="s">
        <v>84</v>
      </c>
      <c r="H40" s="3">
        <f>IF($B40="","",IFERROR(INDEX(GSC!$B:$B,MATCH($B40,GSC!$A:$A,0)),0))</f>
        <v>0</v>
      </c>
      <c r="I40" s="3">
        <f>IF($B40="","",IFERROR(INDEX('GA4'!$B:$B,MATCH(SUBSTITUTE($B40,"https://www.lipid.co.uk",""),'GA4'!$A:$A,0)),0))</f>
        <v>5</v>
      </c>
      <c r="J40" s="6"/>
      <c r="K40" s="6"/>
      <c r="L40" s="7"/>
      <c r="M40" s="3" t="s">
        <v>18</v>
      </c>
      <c r="N40" s="3" t="s">
        <v>19</v>
      </c>
    </row>
    <row r="41" spans="1:14" ht="25" x14ac:dyDescent="0.35">
      <c r="A41" s="3">
        <v>40</v>
      </c>
      <c r="B41" s="4" t="s">
        <v>91</v>
      </c>
      <c r="C41" s="5" t="s">
        <v>75</v>
      </c>
      <c r="D41" s="5" t="s">
        <v>16</v>
      </c>
      <c r="E41" s="6"/>
      <c r="F41" s="5" t="str">
        <f t="shared" si="1"/>
        <v>Rewrite</v>
      </c>
      <c r="G41" s="5" t="s">
        <v>84</v>
      </c>
      <c r="H41" s="3">
        <f>IF($B41="","",IFERROR(INDEX(GSC!$B:$B,MATCH($B41,GSC!$A:$A,0)),0))</f>
        <v>0</v>
      </c>
      <c r="I41" s="3">
        <f>IF($B41="","",IFERROR(INDEX('GA4'!$B:$B,MATCH(SUBSTITUTE($B41,"https://www.lipid.co.uk",""),'GA4'!$A:$A,0)),0))</f>
        <v>3</v>
      </c>
      <c r="J41" s="6"/>
      <c r="K41" s="6"/>
      <c r="L41" s="7"/>
      <c r="M41" s="3" t="s">
        <v>18</v>
      </c>
      <c r="N41" s="3" t="s">
        <v>19</v>
      </c>
    </row>
    <row r="42" spans="1:14" ht="25" x14ac:dyDescent="0.35">
      <c r="A42" s="3">
        <v>41</v>
      </c>
      <c r="B42" s="4" t="s">
        <v>92</v>
      </c>
      <c r="C42" s="5" t="s">
        <v>75</v>
      </c>
      <c r="D42" s="5" t="s">
        <v>16</v>
      </c>
      <c r="E42" s="6"/>
      <c r="F42" s="5" t="str">
        <f t="shared" si="1"/>
        <v>Rewrite</v>
      </c>
      <c r="G42" s="5" t="s">
        <v>84</v>
      </c>
      <c r="H42" s="3">
        <f>IF($B42="","",IFERROR(INDEX(GSC!$B:$B,MATCH($B42,GSC!$A:$A,0)),0))</f>
        <v>0</v>
      </c>
      <c r="I42" s="3">
        <f>IF($B42="","",IFERROR(INDEX('GA4'!$B:$B,MATCH(SUBSTITUTE($B42,"https://www.lipid.co.uk",""),'GA4'!$A:$A,0)),0))</f>
        <v>0</v>
      </c>
      <c r="J42" s="6"/>
      <c r="K42" s="6"/>
      <c r="L42" s="7"/>
      <c r="M42" s="3" t="s">
        <v>18</v>
      </c>
      <c r="N42" s="3" t="s">
        <v>19</v>
      </c>
    </row>
    <row r="43" spans="1:14" ht="25" x14ac:dyDescent="0.35">
      <c r="A43" s="3">
        <v>42</v>
      </c>
      <c r="B43" s="4" t="s">
        <v>93</v>
      </c>
      <c r="C43" s="5" t="s">
        <v>75</v>
      </c>
      <c r="D43" s="5" t="s">
        <v>67</v>
      </c>
      <c r="E43" s="6"/>
      <c r="F43" s="5" t="str">
        <f t="shared" si="1"/>
        <v>Retire</v>
      </c>
      <c r="G43" s="5" t="s">
        <v>84</v>
      </c>
      <c r="H43" s="3">
        <f>IF($B43="","",IFERROR(INDEX(GSC!$B:$B,MATCH($B43,GSC!$A:$A,0)),0))</f>
        <v>1</v>
      </c>
      <c r="I43" s="3">
        <f>IF($B43="","",IFERROR(INDEX('GA4'!$B:$B,MATCH(SUBSTITUTE($B43,"https://www.lipid.co.uk",""),'GA4'!$A:$A,0)),0))</f>
        <v>1</v>
      </c>
      <c r="J43" s="6"/>
      <c r="K43" s="6"/>
      <c r="L43" s="7"/>
      <c r="M43" s="3" t="s">
        <v>18</v>
      </c>
      <c r="N43" s="3" t="s">
        <v>19</v>
      </c>
    </row>
    <row r="44" spans="1:14" ht="25" x14ac:dyDescent="0.35">
      <c r="A44" s="3">
        <v>43</v>
      </c>
      <c r="B44" s="4" t="s">
        <v>94</v>
      </c>
      <c r="C44" s="5" t="s">
        <v>75</v>
      </c>
      <c r="D44" s="5" t="s">
        <v>67</v>
      </c>
      <c r="E44" s="6"/>
      <c r="F44" s="5" t="str">
        <f t="shared" si="1"/>
        <v>Retire</v>
      </c>
      <c r="G44" s="5" t="s">
        <v>84</v>
      </c>
      <c r="H44" s="3">
        <f>IF($B44="","",IFERROR(INDEX(GSC!$B:$B,MATCH($B44,GSC!$A:$A,0)),0))</f>
        <v>6</v>
      </c>
      <c r="I44" s="3">
        <f>IF($B44="","",IFERROR(INDEX('GA4'!$B:$B,MATCH(SUBSTITUTE($B44,"https://www.lipid.co.uk",""),'GA4'!$A:$A,0)),0))</f>
        <v>9</v>
      </c>
      <c r="J44" s="6"/>
      <c r="K44" s="6"/>
      <c r="L44" s="7"/>
      <c r="M44" s="3" t="s">
        <v>18</v>
      </c>
      <c r="N44" s="3" t="s">
        <v>19</v>
      </c>
    </row>
    <row r="45" spans="1:14" ht="25" x14ac:dyDescent="0.35">
      <c r="A45" s="3">
        <v>44</v>
      </c>
      <c r="B45" s="4" t="s">
        <v>95</v>
      </c>
      <c r="C45" s="5" t="s">
        <v>75</v>
      </c>
      <c r="D45" s="5" t="s">
        <v>16</v>
      </c>
      <c r="E45" s="6"/>
      <c r="F45" s="5" t="str">
        <f t="shared" si="1"/>
        <v>Rewrite</v>
      </c>
      <c r="G45" s="5" t="s">
        <v>84</v>
      </c>
      <c r="H45" s="3">
        <f>IF($B45="","",IFERROR(INDEX(GSC!$B:$B,MATCH($B45,GSC!$A:$A,0)),0))</f>
        <v>0</v>
      </c>
      <c r="I45" s="3">
        <f>IF($B45="","",IFERROR(INDEX('GA4'!$B:$B,MATCH(SUBSTITUTE($B45,"https://www.lipid.co.uk",""),'GA4'!$A:$A,0)),0))</f>
        <v>1</v>
      </c>
      <c r="J45" s="6"/>
      <c r="K45" s="6"/>
      <c r="L45" s="7"/>
      <c r="M45" s="3" t="s">
        <v>18</v>
      </c>
      <c r="N45" s="3" t="s">
        <v>19</v>
      </c>
    </row>
    <row r="46" spans="1:14" ht="25" x14ac:dyDescent="0.35">
      <c r="A46" s="3">
        <v>45</v>
      </c>
      <c r="B46" s="4" t="s">
        <v>96</v>
      </c>
      <c r="C46" s="5" t="s">
        <v>75</v>
      </c>
      <c r="D46" s="5" t="s">
        <v>67</v>
      </c>
      <c r="E46" s="6"/>
      <c r="F46" s="5" t="str">
        <f t="shared" si="1"/>
        <v>Retire</v>
      </c>
      <c r="G46" s="5" t="s">
        <v>84</v>
      </c>
      <c r="H46" s="3">
        <f>IF($B46="","",IFERROR(INDEX(GSC!$B:$B,MATCH($B46,GSC!$A:$A,0)),0))</f>
        <v>0</v>
      </c>
      <c r="I46" s="3">
        <f>IF($B46="","",IFERROR(INDEX('GA4'!$B:$B,MATCH(SUBSTITUTE($B46,"https://www.lipid.co.uk",""),'GA4'!$A:$A,0)),0))</f>
        <v>0</v>
      </c>
      <c r="J46" s="6"/>
      <c r="K46" s="6"/>
      <c r="L46" s="7"/>
      <c r="M46" s="3" t="s">
        <v>18</v>
      </c>
      <c r="N46" s="3" t="s">
        <v>19</v>
      </c>
    </row>
    <row r="47" spans="1:14" ht="25" x14ac:dyDescent="0.35">
      <c r="A47" s="3">
        <v>46</v>
      </c>
      <c r="B47" s="4" t="s">
        <v>97</v>
      </c>
      <c r="C47" s="5" t="s">
        <v>75</v>
      </c>
      <c r="D47" s="5" t="s">
        <v>67</v>
      </c>
      <c r="E47" s="6"/>
      <c r="F47" s="5" t="str">
        <f t="shared" si="1"/>
        <v>Retire</v>
      </c>
      <c r="G47" s="5" t="s">
        <v>84</v>
      </c>
      <c r="H47" s="3">
        <f>IF($B47="","",IFERROR(INDEX(GSC!$B:$B,MATCH($B47,GSC!$A:$A,0)),0))</f>
        <v>0</v>
      </c>
      <c r="I47" s="3">
        <f>IF($B47="","",IFERROR(INDEX('GA4'!$B:$B,MATCH(SUBSTITUTE($B47,"https://www.lipid.co.uk",""),'GA4'!$A:$A,0)),0))</f>
        <v>0</v>
      </c>
      <c r="J47" s="6"/>
      <c r="K47" s="6"/>
      <c r="L47" s="7"/>
      <c r="M47" s="3" t="s">
        <v>18</v>
      </c>
      <c r="N47" s="3" t="s">
        <v>19</v>
      </c>
    </row>
    <row r="48" spans="1:14" ht="25" x14ac:dyDescent="0.35">
      <c r="A48" s="3">
        <v>47</v>
      </c>
      <c r="B48" s="4" t="s">
        <v>98</v>
      </c>
      <c r="C48" s="5" t="s">
        <v>75</v>
      </c>
      <c r="D48" s="5" t="s">
        <v>16</v>
      </c>
      <c r="E48" s="6"/>
      <c r="F48" s="5" t="str">
        <f t="shared" si="1"/>
        <v>Rewrite</v>
      </c>
      <c r="G48" s="5" t="s">
        <v>84</v>
      </c>
      <c r="H48" s="3">
        <f>IF($B48="","",IFERROR(INDEX(GSC!$B:$B,MATCH($B48,GSC!$A:$A,0)),0))</f>
        <v>0</v>
      </c>
      <c r="I48" s="3">
        <f>IF($B48="","",IFERROR(INDEX('GA4'!$B:$B,MATCH(SUBSTITUTE($B48,"https://www.lipid.co.uk",""),'GA4'!$A:$A,0)),0))</f>
        <v>0</v>
      </c>
      <c r="J48" s="6"/>
      <c r="K48" s="6"/>
      <c r="L48" s="7"/>
      <c r="M48" s="3" t="s">
        <v>18</v>
      </c>
      <c r="N48" s="3" t="s">
        <v>19</v>
      </c>
    </row>
    <row r="49" spans="1:14" ht="25" x14ac:dyDescent="0.35">
      <c r="A49" s="3">
        <v>48</v>
      </c>
      <c r="B49" s="4" t="s">
        <v>99</v>
      </c>
      <c r="C49" s="5" t="s">
        <v>75</v>
      </c>
      <c r="D49" s="5" t="s">
        <v>67</v>
      </c>
      <c r="E49" s="6"/>
      <c r="F49" s="5" t="str">
        <f t="shared" si="1"/>
        <v>Retire</v>
      </c>
      <c r="G49" s="5" t="s">
        <v>84</v>
      </c>
      <c r="H49" s="3">
        <f>IF($B49="","",IFERROR(INDEX(GSC!$B:$B,MATCH($B49,GSC!$A:$A,0)),0))</f>
        <v>1</v>
      </c>
      <c r="I49" s="3">
        <f>IF($B49="","",IFERROR(INDEX('GA4'!$B:$B,MATCH(SUBSTITUTE($B49,"https://www.lipid.co.uk",""),'GA4'!$A:$A,0)),0))</f>
        <v>0</v>
      </c>
      <c r="J49" s="6"/>
      <c r="K49" s="6"/>
      <c r="L49" s="7"/>
      <c r="M49" s="3" t="s">
        <v>18</v>
      </c>
      <c r="N49" s="3" t="s">
        <v>19</v>
      </c>
    </row>
    <row r="50" spans="1:14" ht="25" x14ac:dyDescent="0.35">
      <c r="A50" s="3">
        <v>49</v>
      </c>
      <c r="B50" s="4" t="s">
        <v>100</v>
      </c>
      <c r="C50" s="5" t="s">
        <v>75</v>
      </c>
      <c r="D50" s="5" t="s">
        <v>67</v>
      </c>
      <c r="E50" s="6"/>
      <c r="F50" s="5" t="str">
        <f t="shared" si="1"/>
        <v>Retire</v>
      </c>
      <c r="G50" s="5" t="s">
        <v>84</v>
      </c>
      <c r="H50" s="3">
        <f>IF($B50="","",IFERROR(INDEX(GSC!$B:$B,MATCH($B50,GSC!$A:$A,0)),0))</f>
        <v>0</v>
      </c>
      <c r="I50" s="3">
        <f>IF($B50="","",IFERROR(INDEX('GA4'!$B:$B,MATCH(SUBSTITUTE($B50,"https://www.lipid.co.uk",""),'GA4'!$A:$A,0)),0))</f>
        <v>0</v>
      </c>
      <c r="J50" s="6"/>
      <c r="K50" s="6"/>
      <c r="L50" s="7"/>
      <c r="M50" s="3" t="s">
        <v>18</v>
      </c>
      <c r="N50" s="3" t="s">
        <v>19</v>
      </c>
    </row>
    <row r="51" spans="1:14" ht="25" x14ac:dyDescent="0.35">
      <c r="A51" s="3">
        <v>50</v>
      </c>
      <c r="B51" s="4" t="s">
        <v>101</v>
      </c>
      <c r="C51" s="5" t="s">
        <v>75</v>
      </c>
      <c r="D51" s="5" t="s">
        <v>16</v>
      </c>
      <c r="E51" s="6"/>
      <c r="F51" s="5" t="str">
        <f t="shared" si="1"/>
        <v>Rewrite</v>
      </c>
      <c r="G51" s="5" t="s">
        <v>84</v>
      </c>
      <c r="H51" s="3">
        <f>IF($B51="","",IFERROR(INDEX(GSC!$B:$B,MATCH($B51,GSC!$A:$A,0)),0))</f>
        <v>0</v>
      </c>
      <c r="I51" s="3">
        <f>IF($B51="","",IFERROR(INDEX('GA4'!$B:$B,MATCH(SUBSTITUTE($B51,"https://www.lipid.co.uk",""),'GA4'!$A:$A,0)),0))</f>
        <v>0</v>
      </c>
      <c r="J51" s="6"/>
      <c r="K51" s="6"/>
      <c r="L51" s="7"/>
      <c r="M51" s="3" t="s">
        <v>18</v>
      </c>
      <c r="N51" s="3" t="s">
        <v>19</v>
      </c>
    </row>
    <row r="52" spans="1:14" ht="25" x14ac:dyDescent="0.35">
      <c r="A52" s="3">
        <v>51</v>
      </c>
      <c r="B52" s="4" t="s">
        <v>102</v>
      </c>
      <c r="C52" s="5" t="s">
        <v>75</v>
      </c>
      <c r="D52" s="5" t="s">
        <v>16</v>
      </c>
      <c r="E52" s="6"/>
      <c r="F52" s="5" t="str">
        <f t="shared" si="1"/>
        <v>Rewrite</v>
      </c>
      <c r="G52" s="5" t="s">
        <v>84</v>
      </c>
      <c r="H52" s="3">
        <f>IF($B52="","",IFERROR(INDEX(GSC!$B:$B,MATCH($B52,GSC!$A:$A,0)),0))</f>
        <v>0</v>
      </c>
      <c r="I52" s="3">
        <f>IF($B52="","",IFERROR(INDEX('GA4'!$B:$B,MATCH(SUBSTITUTE($B52,"https://www.lipid.co.uk",""),'GA4'!$A:$A,0)),0))</f>
        <v>1</v>
      </c>
      <c r="J52" s="6"/>
      <c r="K52" s="6"/>
      <c r="L52" s="7"/>
      <c r="M52" s="3" t="s">
        <v>18</v>
      </c>
      <c r="N52" s="3" t="s">
        <v>19</v>
      </c>
    </row>
    <row r="53" spans="1:14" ht="25" x14ac:dyDescent="0.35">
      <c r="A53" s="3">
        <v>52</v>
      </c>
      <c r="B53" s="4" t="s">
        <v>103</v>
      </c>
      <c r="C53" s="5" t="s">
        <v>75</v>
      </c>
      <c r="D53" s="5" t="s">
        <v>67</v>
      </c>
      <c r="E53" s="6"/>
      <c r="F53" s="5" t="str">
        <f t="shared" si="1"/>
        <v>Retire</v>
      </c>
      <c r="G53" s="5" t="s">
        <v>84</v>
      </c>
      <c r="H53" s="3">
        <f>IF($B53="","",IFERROR(INDEX(GSC!$B:$B,MATCH($B53,GSC!$A:$A,0)),0))</f>
        <v>0</v>
      </c>
      <c r="I53" s="3">
        <f>IF($B53="","",IFERROR(INDEX('GA4'!$B:$B,MATCH(SUBSTITUTE($B53,"https://www.lipid.co.uk",""),'GA4'!$A:$A,0)),0))</f>
        <v>1</v>
      </c>
      <c r="J53" s="6"/>
      <c r="K53" s="6"/>
      <c r="L53" s="7"/>
      <c r="M53" s="3" t="s">
        <v>18</v>
      </c>
      <c r="N53" s="3" t="s">
        <v>19</v>
      </c>
    </row>
    <row r="54" spans="1:14" ht="25" x14ac:dyDescent="0.35">
      <c r="A54" s="3">
        <v>53</v>
      </c>
      <c r="B54" s="4" t="s">
        <v>104</v>
      </c>
      <c r="C54" s="5" t="s">
        <v>75</v>
      </c>
      <c r="D54" s="5" t="s">
        <v>16</v>
      </c>
      <c r="E54" s="6"/>
      <c r="F54" s="5" t="str">
        <f t="shared" si="1"/>
        <v>Rewrite</v>
      </c>
      <c r="G54" s="5" t="s">
        <v>84</v>
      </c>
      <c r="H54" s="3">
        <f>IF($B54="","",IFERROR(INDEX(GSC!$B:$B,MATCH($B54,GSC!$A:$A,0)),0))</f>
        <v>0</v>
      </c>
      <c r="I54" s="3">
        <f>IF($B54="","",IFERROR(INDEX('GA4'!$B:$B,MATCH(SUBSTITUTE($B54,"https://www.lipid.co.uk",""),'GA4'!$A:$A,0)),0))</f>
        <v>1</v>
      </c>
      <c r="J54" s="6"/>
      <c r="K54" s="6"/>
      <c r="L54" s="7"/>
      <c r="M54" s="3" t="s">
        <v>18</v>
      </c>
      <c r="N54" s="3" t="s">
        <v>19</v>
      </c>
    </row>
    <row r="55" spans="1:14" ht="25" x14ac:dyDescent="0.35">
      <c r="A55" s="3">
        <v>54</v>
      </c>
      <c r="B55" s="4" t="s">
        <v>105</v>
      </c>
      <c r="C55" s="5" t="s">
        <v>75</v>
      </c>
      <c r="D55" s="5" t="s">
        <v>67</v>
      </c>
      <c r="E55" s="6"/>
      <c r="F55" s="5" t="str">
        <f t="shared" si="1"/>
        <v>Retire</v>
      </c>
      <c r="G55" s="5" t="s">
        <v>84</v>
      </c>
      <c r="H55" s="3">
        <f>IF($B55="","",IFERROR(INDEX(GSC!$B:$B,MATCH($B55,GSC!$A:$A,0)),0))</f>
        <v>0</v>
      </c>
      <c r="I55" s="3">
        <f>IF($B55="","",IFERROR(INDEX('GA4'!$B:$B,MATCH(SUBSTITUTE($B55,"https://www.lipid.co.uk",""),'GA4'!$A:$A,0)),0))</f>
        <v>0</v>
      </c>
      <c r="J55" s="6"/>
      <c r="K55" s="6"/>
      <c r="L55" s="7"/>
      <c r="M55" s="3" t="s">
        <v>18</v>
      </c>
      <c r="N55" s="3" t="s">
        <v>19</v>
      </c>
    </row>
    <row r="56" spans="1:14" ht="25" x14ac:dyDescent="0.35">
      <c r="A56" s="3">
        <v>55</v>
      </c>
      <c r="B56" s="4" t="s">
        <v>106</v>
      </c>
      <c r="C56" s="5" t="s">
        <v>75</v>
      </c>
      <c r="D56" s="5" t="s">
        <v>16</v>
      </c>
      <c r="E56" s="6"/>
      <c r="F56" s="5" t="str">
        <f t="shared" si="1"/>
        <v>Rewrite</v>
      </c>
      <c r="G56" s="5" t="s">
        <v>84</v>
      </c>
      <c r="H56" s="3">
        <f>IF($B56="","",IFERROR(INDEX(GSC!$B:$B,MATCH($B56,GSC!$A:$A,0)),0))</f>
        <v>0</v>
      </c>
      <c r="I56" s="3">
        <f>IF($B56="","",IFERROR(INDEX('GA4'!$B:$B,MATCH(SUBSTITUTE($B56,"https://www.lipid.co.uk",""),'GA4'!$A:$A,0)),0))</f>
        <v>0</v>
      </c>
      <c r="J56" s="6"/>
      <c r="K56" s="6"/>
      <c r="L56" s="7"/>
      <c r="M56" s="3" t="s">
        <v>18</v>
      </c>
      <c r="N56" s="3" t="s">
        <v>19</v>
      </c>
    </row>
    <row r="57" spans="1:14" ht="25" x14ac:dyDescent="0.35">
      <c r="A57" s="3">
        <v>56</v>
      </c>
      <c r="B57" s="4" t="s">
        <v>107</v>
      </c>
      <c r="C57" s="5" t="s">
        <v>75</v>
      </c>
      <c r="D57" s="5" t="s">
        <v>67</v>
      </c>
      <c r="E57" s="6"/>
      <c r="F57" s="5" t="str">
        <f t="shared" si="1"/>
        <v>Retire</v>
      </c>
      <c r="G57" s="5" t="s">
        <v>84</v>
      </c>
      <c r="H57" s="3">
        <f>IF($B57="","",IFERROR(INDEX(GSC!$B:$B,MATCH($B57,GSC!$A:$A,0)),0))</f>
        <v>0</v>
      </c>
      <c r="I57" s="3">
        <f>IF($B57="","",IFERROR(INDEX('GA4'!$B:$B,MATCH(SUBSTITUTE($B57,"https://www.lipid.co.uk",""),'GA4'!$A:$A,0)),0))</f>
        <v>0</v>
      </c>
      <c r="J57" s="6"/>
      <c r="K57" s="6"/>
      <c r="L57" s="7"/>
      <c r="M57" s="3" t="s">
        <v>18</v>
      </c>
      <c r="N57" s="3" t="s">
        <v>19</v>
      </c>
    </row>
    <row r="58" spans="1:14" x14ac:dyDescent="0.35">
      <c r="A58" s="3">
        <v>57</v>
      </c>
      <c r="B58" s="4" t="s">
        <v>108</v>
      </c>
      <c r="C58" s="5" t="s">
        <v>109</v>
      </c>
      <c r="D58" s="5" t="s">
        <v>16</v>
      </c>
      <c r="E58" s="6"/>
      <c r="F58" s="5" t="str">
        <f t="shared" si="1"/>
        <v>Rewrite</v>
      </c>
      <c r="G58" s="5" t="s">
        <v>110</v>
      </c>
      <c r="H58" s="3">
        <f>IF($B58="","",IFERROR(INDEX(GSC!$B:$B,MATCH($B58,GSC!$A:$A,0)),0))</f>
        <v>0</v>
      </c>
      <c r="I58" s="3">
        <f>IF($B58="","",IFERROR(INDEX('GA4'!$B:$B,MATCH(SUBSTITUTE($B58,"https://www.lipid.co.uk",""),'GA4'!$A:$A,0)),0))</f>
        <v>276</v>
      </c>
      <c r="J58" s="6"/>
      <c r="K58" s="6"/>
      <c r="L58" s="7"/>
      <c r="M58" s="3" t="s">
        <v>18</v>
      </c>
      <c r="N58" s="3" t="s">
        <v>19</v>
      </c>
    </row>
    <row r="59" spans="1:14" x14ac:dyDescent="0.35">
      <c r="A59" s="3">
        <v>58</v>
      </c>
      <c r="B59" s="4" t="s">
        <v>111</v>
      </c>
      <c r="C59" s="5" t="s">
        <v>109</v>
      </c>
      <c r="D59" s="5" t="s">
        <v>24</v>
      </c>
      <c r="E59" s="6"/>
      <c r="F59" s="5" t="str">
        <f t="shared" si="1"/>
        <v>Merge</v>
      </c>
      <c r="G59" s="5" t="s">
        <v>112</v>
      </c>
      <c r="H59" s="3">
        <f>IF($B59="","",IFERROR(INDEX(GSC!$B:$B,MATCH($B59,GSC!$A:$A,0)),0))</f>
        <v>2</v>
      </c>
      <c r="I59" s="3">
        <f>IF($B59="","",IFERROR(INDEX('GA4'!$B:$B,MATCH(SUBSTITUTE($B59,"https://www.lipid.co.uk",""),'GA4'!$A:$A,0)),0))</f>
        <v>10</v>
      </c>
      <c r="J59" s="6"/>
      <c r="K59" s="6"/>
      <c r="L59" s="7"/>
      <c r="M59" s="3" t="s">
        <v>18</v>
      </c>
      <c r="N59" s="3" t="s">
        <v>19</v>
      </c>
    </row>
    <row r="60" spans="1:14" ht="25" x14ac:dyDescent="0.35">
      <c r="A60" s="3">
        <v>59</v>
      </c>
      <c r="B60" s="4" t="s">
        <v>113</v>
      </c>
      <c r="C60" s="5" t="s">
        <v>109</v>
      </c>
      <c r="D60" s="5" t="s">
        <v>67</v>
      </c>
      <c r="E60" s="6"/>
      <c r="F60" s="5" t="str">
        <f t="shared" si="1"/>
        <v>Retire</v>
      </c>
      <c r="G60" s="5" t="s">
        <v>114</v>
      </c>
      <c r="H60" s="3">
        <f>IF($B60="","",IFERROR(INDEX(GSC!$B:$B,MATCH($B60,GSC!$A:$A,0)),0))</f>
        <v>2</v>
      </c>
      <c r="I60" s="3">
        <f>IF($B60="","",IFERROR(INDEX('GA4'!$B:$B,MATCH(SUBSTITUTE($B60,"https://www.lipid.co.uk",""),'GA4'!$A:$A,0)),0))</f>
        <v>4</v>
      </c>
      <c r="J60" s="6"/>
      <c r="K60" s="6"/>
      <c r="L60" s="7"/>
      <c r="M60" s="3" t="s">
        <v>18</v>
      </c>
      <c r="N60" s="3" t="s">
        <v>19</v>
      </c>
    </row>
    <row r="61" spans="1:14" ht="25" x14ac:dyDescent="0.35">
      <c r="A61" s="3">
        <v>60</v>
      </c>
      <c r="B61" s="4" t="s">
        <v>115</v>
      </c>
      <c r="C61" s="5" t="s">
        <v>109</v>
      </c>
      <c r="D61" s="5" t="s">
        <v>67</v>
      </c>
      <c r="E61" s="6"/>
      <c r="F61" s="5" t="str">
        <f t="shared" si="1"/>
        <v>Retire</v>
      </c>
      <c r="G61" s="5" t="s">
        <v>116</v>
      </c>
      <c r="H61" s="3">
        <f>IF($B61="","",IFERROR(INDEX(GSC!$B:$B,MATCH($B61,GSC!$A:$A,0)),0))</f>
        <v>4</v>
      </c>
      <c r="I61" s="3">
        <f>IF($B61="","",IFERROR(INDEX('GA4'!$B:$B,MATCH(SUBSTITUTE($B61,"https://www.lipid.co.uk",""),'GA4'!$A:$A,0)),0))</f>
        <v>7</v>
      </c>
      <c r="J61" s="6"/>
      <c r="K61" s="6"/>
      <c r="L61" s="7"/>
      <c r="M61" s="3" t="s">
        <v>18</v>
      </c>
      <c r="N61" s="3" t="s">
        <v>19</v>
      </c>
    </row>
    <row r="62" spans="1:14" ht="25" x14ac:dyDescent="0.35">
      <c r="A62" s="3">
        <v>61</v>
      </c>
      <c r="B62" s="4" t="s">
        <v>117</v>
      </c>
      <c r="C62" s="5" t="s">
        <v>109</v>
      </c>
      <c r="D62" s="5" t="s">
        <v>67</v>
      </c>
      <c r="E62" s="6"/>
      <c r="F62" s="5" t="str">
        <f t="shared" si="1"/>
        <v>Retire</v>
      </c>
      <c r="G62" s="5" t="s">
        <v>118</v>
      </c>
      <c r="H62" s="3">
        <f>IF($B62="","",IFERROR(INDEX(GSC!$B:$B,MATCH($B62,GSC!$A:$A,0)),0))</f>
        <v>0</v>
      </c>
      <c r="I62" s="3">
        <f>IF($B62="","",IFERROR(INDEX('GA4'!$B:$B,MATCH(SUBSTITUTE($B62,"https://www.lipid.co.uk",""),'GA4'!$A:$A,0)),0))</f>
        <v>27</v>
      </c>
      <c r="J62" s="6"/>
      <c r="K62" s="6"/>
      <c r="L62" s="7"/>
      <c r="M62" s="3" t="s">
        <v>18</v>
      </c>
      <c r="N62" s="3" t="s">
        <v>19</v>
      </c>
    </row>
    <row r="63" spans="1:14" ht="37.5" x14ac:dyDescent="0.35">
      <c r="A63" s="3">
        <v>62</v>
      </c>
      <c r="B63" s="4" t="s">
        <v>119</v>
      </c>
      <c r="C63" s="5" t="s">
        <v>109</v>
      </c>
      <c r="D63" s="5" t="s">
        <v>67</v>
      </c>
      <c r="E63" s="6"/>
      <c r="F63" s="5" t="str">
        <f t="shared" si="1"/>
        <v>Retire</v>
      </c>
      <c r="G63" s="5" t="s">
        <v>118</v>
      </c>
      <c r="H63" s="3">
        <f>IF($B63="","",IFERROR(INDEX(GSC!$B:$B,MATCH($B63,GSC!$A:$A,0)),0))</f>
        <v>1</v>
      </c>
      <c r="I63" s="3">
        <f>IF($B63="","",IFERROR(INDEX('GA4'!$B:$B,MATCH(SUBSTITUTE($B63,"https://www.lipid.co.uk",""),'GA4'!$A:$A,0)),0))</f>
        <v>8</v>
      </c>
      <c r="J63" s="6"/>
      <c r="K63" s="6"/>
      <c r="L63" s="7"/>
      <c r="M63" s="3" t="s">
        <v>18</v>
      </c>
      <c r="N63" s="3" t="s">
        <v>19</v>
      </c>
    </row>
    <row r="64" spans="1:14" ht="25" x14ac:dyDescent="0.35">
      <c r="A64" s="3">
        <v>63</v>
      </c>
      <c r="B64" s="4" t="s">
        <v>120</v>
      </c>
      <c r="C64" s="5" t="s">
        <v>109</v>
      </c>
      <c r="D64" s="5" t="s">
        <v>58</v>
      </c>
      <c r="E64" s="6"/>
      <c r="F64" s="5" t="str">
        <f t="shared" si="1"/>
        <v>Migrate as is</v>
      </c>
      <c r="G64" s="5" t="s">
        <v>121</v>
      </c>
      <c r="H64" s="3">
        <f>IF($B64="","",IFERROR(INDEX(GSC!$B:$B,MATCH($B64,GSC!$A:$A,0)),0))</f>
        <v>37</v>
      </c>
      <c r="I64" s="3">
        <f>IF($B64="","",IFERROR(INDEX('GA4'!$B:$B,MATCH(SUBSTITUTE($B64,"https://www.lipid.co.uk",""),'GA4'!$A:$A,0)),0))</f>
        <v>73</v>
      </c>
      <c r="J64" s="6"/>
      <c r="K64" s="6"/>
      <c r="L64" s="7"/>
      <c r="M64" s="3" t="s">
        <v>18</v>
      </c>
      <c r="N64" s="3" t="s">
        <v>19</v>
      </c>
    </row>
    <row r="65" spans="1:14" ht="25" x14ac:dyDescent="0.35">
      <c r="A65" s="3">
        <v>64</v>
      </c>
      <c r="B65" s="4" t="s">
        <v>122</v>
      </c>
      <c r="C65" s="5" t="s">
        <v>109</v>
      </c>
      <c r="D65" s="5" t="s">
        <v>67</v>
      </c>
      <c r="E65" s="6"/>
      <c r="F65" s="5" t="str">
        <f t="shared" si="1"/>
        <v>Retire</v>
      </c>
      <c r="G65" s="5" t="s">
        <v>118</v>
      </c>
      <c r="H65" s="3">
        <f>IF($B65="","",IFERROR(INDEX(GSC!$B:$B,MATCH($B65,GSC!$A:$A,0)),0))</f>
        <v>0</v>
      </c>
      <c r="I65" s="3">
        <f>IF($B65="","",IFERROR(INDEX('GA4'!$B:$B,MATCH(SUBSTITUTE($B65,"https://www.lipid.co.uk",""),'GA4'!$A:$A,0)),0))</f>
        <v>38</v>
      </c>
      <c r="J65" s="6"/>
      <c r="K65" s="6"/>
      <c r="L65" s="7"/>
      <c r="M65" s="3" t="s">
        <v>18</v>
      </c>
      <c r="N65" s="3" t="s">
        <v>19</v>
      </c>
    </row>
    <row r="66" spans="1:14" ht="25" x14ac:dyDescent="0.35">
      <c r="A66" s="3">
        <v>65</v>
      </c>
      <c r="B66" s="4" t="s">
        <v>123</v>
      </c>
      <c r="C66" s="5" t="s">
        <v>109</v>
      </c>
      <c r="D66" s="5" t="s">
        <v>58</v>
      </c>
      <c r="E66" s="6"/>
      <c r="F66" s="5" t="str">
        <f t="shared" ref="F66:F97" si="2">IF(B66="","",IF(E66&lt;&gt;"",E66,D66))</f>
        <v>Migrate as is</v>
      </c>
      <c r="G66" s="5" t="s">
        <v>124</v>
      </c>
      <c r="H66" s="3">
        <f>IF($B66="","",IFERROR(INDEX(GSC!$B:$B,MATCH($B66,GSC!$A:$A,0)),0))</f>
        <v>1</v>
      </c>
      <c r="I66" s="3">
        <f>IF($B66="","",IFERROR(INDEX('GA4'!$B:$B,MATCH(SUBSTITUTE($B66,"https://www.lipid.co.uk",""),'GA4'!$A:$A,0)),0))</f>
        <v>7</v>
      </c>
      <c r="J66" s="6"/>
      <c r="K66" s="6"/>
      <c r="L66" s="7"/>
      <c r="M66" s="3" t="s">
        <v>18</v>
      </c>
      <c r="N66" s="3" t="s">
        <v>19</v>
      </c>
    </row>
    <row r="67" spans="1:14" ht="25" x14ac:dyDescent="0.35">
      <c r="A67" s="3">
        <v>66</v>
      </c>
      <c r="B67" s="4" t="s">
        <v>125</v>
      </c>
      <c r="C67" s="5" t="s">
        <v>109</v>
      </c>
      <c r="D67" s="5" t="s">
        <v>67</v>
      </c>
      <c r="E67" s="6"/>
      <c r="F67" s="5" t="str">
        <f t="shared" si="2"/>
        <v>Retire</v>
      </c>
      <c r="G67" s="5" t="s">
        <v>118</v>
      </c>
      <c r="H67" s="3">
        <f>IF($B67="","",IFERROR(INDEX(GSC!$B:$B,MATCH($B67,GSC!$A:$A,0)),0))</f>
        <v>0</v>
      </c>
      <c r="I67" s="3">
        <f>IF($B67="","",IFERROR(INDEX('GA4'!$B:$B,MATCH(SUBSTITUTE($B67,"https://www.lipid.co.uk",""),'GA4'!$A:$A,0)),0))</f>
        <v>3</v>
      </c>
      <c r="J67" s="6"/>
      <c r="K67" s="6"/>
      <c r="L67" s="7"/>
      <c r="M67" s="3" t="s">
        <v>18</v>
      </c>
      <c r="N67" s="3" t="s">
        <v>19</v>
      </c>
    </row>
    <row r="68" spans="1:14" ht="25" x14ac:dyDescent="0.35">
      <c r="A68" s="3">
        <v>67</v>
      </c>
      <c r="B68" s="4" t="s">
        <v>126</v>
      </c>
      <c r="C68" s="5" t="s">
        <v>109</v>
      </c>
      <c r="D68" s="5" t="s">
        <v>58</v>
      </c>
      <c r="E68" s="6"/>
      <c r="F68" s="5" t="str">
        <f t="shared" si="2"/>
        <v>Migrate as is</v>
      </c>
      <c r="G68" s="5" t="s">
        <v>127</v>
      </c>
      <c r="H68" s="3">
        <f>IF($B68="","",IFERROR(INDEX(GSC!$B:$B,MATCH($B68,GSC!$A:$A,0)),0))</f>
        <v>9</v>
      </c>
      <c r="I68" s="3">
        <f>IF($B68="","",IFERROR(INDEX('GA4'!$B:$B,MATCH(SUBSTITUTE($B68,"https://www.lipid.co.uk",""),'GA4'!$A:$A,0)),0))</f>
        <v>16</v>
      </c>
      <c r="J68" s="6"/>
      <c r="K68" s="6"/>
      <c r="L68" s="7"/>
      <c r="M68" s="3" t="s">
        <v>18</v>
      </c>
      <c r="N68" s="3" t="s">
        <v>19</v>
      </c>
    </row>
    <row r="69" spans="1:14" ht="25" x14ac:dyDescent="0.35">
      <c r="A69" s="3">
        <v>68</v>
      </c>
      <c r="B69" s="4" t="s">
        <v>128</v>
      </c>
      <c r="C69" s="5" t="s">
        <v>109</v>
      </c>
      <c r="D69" s="5" t="s">
        <v>67</v>
      </c>
      <c r="E69" s="6"/>
      <c r="F69" s="5" t="str">
        <f t="shared" si="2"/>
        <v>Retire</v>
      </c>
      <c r="G69" s="5" t="s">
        <v>129</v>
      </c>
      <c r="H69" s="3">
        <f>IF($B69="","",IFERROR(INDEX(GSC!$B:$B,MATCH($B69,GSC!$A:$A,0)),0))</f>
        <v>0</v>
      </c>
      <c r="I69" s="3">
        <f>IF($B69="","",IFERROR(INDEX('GA4'!$B:$B,MATCH(SUBSTITUTE($B69,"https://www.lipid.co.uk",""),'GA4'!$A:$A,0)),0))</f>
        <v>14</v>
      </c>
      <c r="J69" s="6"/>
      <c r="K69" s="6"/>
      <c r="L69" s="7"/>
      <c r="M69" s="3" t="s">
        <v>18</v>
      </c>
      <c r="N69" s="3" t="s">
        <v>19</v>
      </c>
    </row>
    <row r="70" spans="1:14" ht="25" x14ac:dyDescent="0.35">
      <c r="A70" s="3">
        <v>69</v>
      </c>
      <c r="B70" s="4" t="s">
        <v>130</v>
      </c>
      <c r="C70" s="5" t="s">
        <v>109</v>
      </c>
      <c r="D70" s="5" t="s">
        <v>67</v>
      </c>
      <c r="E70" s="6"/>
      <c r="F70" s="5" t="str">
        <f t="shared" si="2"/>
        <v>Retire</v>
      </c>
      <c r="G70" s="5" t="s">
        <v>118</v>
      </c>
      <c r="H70" s="3">
        <f>IF($B70="","",IFERROR(INDEX(GSC!$B:$B,MATCH($B70,GSC!$A:$A,0)),0))</f>
        <v>1</v>
      </c>
      <c r="I70" s="3">
        <f>IF($B70="","",IFERROR(INDEX('GA4'!$B:$B,MATCH(SUBSTITUTE($B70,"https://www.lipid.co.uk",""),'GA4'!$A:$A,0)),0))</f>
        <v>8</v>
      </c>
      <c r="J70" s="6"/>
      <c r="K70" s="6"/>
      <c r="L70" s="7"/>
      <c r="M70" s="3" t="s">
        <v>18</v>
      </c>
      <c r="N70" s="3" t="s">
        <v>19</v>
      </c>
    </row>
    <row r="71" spans="1:14" ht="25" x14ac:dyDescent="0.35">
      <c r="A71" s="3">
        <v>70</v>
      </c>
      <c r="B71" s="4" t="s">
        <v>131</v>
      </c>
      <c r="C71" s="5" t="s">
        <v>109</v>
      </c>
      <c r="D71" s="5" t="s">
        <v>67</v>
      </c>
      <c r="E71" s="6"/>
      <c r="F71" s="5" t="str">
        <f t="shared" si="2"/>
        <v>Retire</v>
      </c>
      <c r="G71" s="5" t="s">
        <v>132</v>
      </c>
      <c r="H71" s="3">
        <f>IF($B71="","",IFERROR(INDEX(GSC!$B:$B,MATCH($B71,GSC!$A:$A,0)),0))</f>
        <v>1</v>
      </c>
      <c r="I71" s="3">
        <f>IF($B71="","",IFERROR(INDEX('GA4'!$B:$B,MATCH(SUBSTITUTE($B71,"https://www.lipid.co.uk",""),'GA4'!$A:$A,0)),0))</f>
        <v>9</v>
      </c>
      <c r="J71" s="6"/>
      <c r="K71" s="6"/>
      <c r="L71" s="7"/>
      <c r="M71" s="3" t="s">
        <v>18</v>
      </c>
      <c r="N71" s="3" t="s">
        <v>19</v>
      </c>
    </row>
    <row r="72" spans="1:14" ht="25" x14ac:dyDescent="0.35">
      <c r="A72" s="3">
        <v>71</v>
      </c>
      <c r="B72" s="4" t="s">
        <v>133</v>
      </c>
      <c r="C72" s="5" t="s">
        <v>109</v>
      </c>
      <c r="D72" s="5" t="s">
        <v>24</v>
      </c>
      <c r="E72" s="6"/>
      <c r="F72" s="5" t="str">
        <f t="shared" si="2"/>
        <v>Merge</v>
      </c>
      <c r="G72" s="5" t="s">
        <v>134</v>
      </c>
      <c r="H72" s="3">
        <f>IF($B72="","",IFERROR(INDEX(GSC!$B:$B,MATCH($B72,GSC!$A:$A,0)),0))</f>
        <v>5</v>
      </c>
      <c r="I72" s="3">
        <f>IF($B72="","",IFERROR(INDEX('GA4'!$B:$B,MATCH(SUBSTITUTE($B72,"https://www.lipid.co.uk",""),'GA4'!$A:$A,0)),0))</f>
        <v>12</v>
      </c>
      <c r="J72" s="6"/>
      <c r="K72" s="6"/>
      <c r="L72" s="7"/>
      <c r="M72" s="3" t="s">
        <v>18</v>
      </c>
      <c r="N72" s="3" t="s">
        <v>19</v>
      </c>
    </row>
    <row r="73" spans="1:14" ht="37.5" x14ac:dyDescent="0.35">
      <c r="A73" s="3">
        <v>72</v>
      </c>
      <c r="B73" s="4" t="s">
        <v>135</v>
      </c>
      <c r="C73" s="5" t="s">
        <v>109</v>
      </c>
      <c r="D73" s="5" t="s">
        <v>58</v>
      </c>
      <c r="E73" s="6"/>
      <c r="F73" s="5" t="str">
        <f t="shared" si="2"/>
        <v>Migrate as is</v>
      </c>
      <c r="G73" s="5" t="s">
        <v>136</v>
      </c>
      <c r="H73" s="3">
        <f>IF($B73="","",IFERROR(INDEX(GSC!$B:$B,MATCH($B73,GSC!$A:$A,0)),0))</f>
        <v>3</v>
      </c>
      <c r="I73" s="3">
        <f>IF($B73="","",IFERROR(INDEX('GA4'!$B:$B,MATCH(SUBSTITUTE($B73,"https://www.lipid.co.uk",""),'GA4'!$A:$A,0)),0))</f>
        <v>33</v>
      </c>
      <c r="J73" s="6"/>
      <c r="K73" s="6"/>
      <c r="L73" s="7"/>
      <c r="M73" s="3" t="s">
        <v>18</v>
      </c>
      <c r="N73" s="3" t="s">
        <v>19</v>
      </c>
    </row>
    <row r="74" spans="1:14" ht="37.5" x14ac:dyDescent="0.35">
      <c r="A74" s="3">
        <v>73</v>
      </c>
      <c r="B74" s="4" t="s">
        <v>137</v>
      </c>
      <c r="C74" s="5" t="s">
        <v>109</v>
      </c>
      <c r="D74" s="5" t="s">
        <v>58</v>
      </c>
      <c r="E74" s="6"/>
      <c r="F74" s="5" t="str">
        <f t="shared" si="2"/>
        <v>Migrate as is</v>
      </c>
      <c r="G74" s="5" t="s">
        <v>136</v>
      </c>
      <c r="H74" s="3">
        <f>IF($B74="","",IFERROR(INDEX(GSC!$B:$B,MATCH($B74,GSC!$A:$A,0)),0))</f>
        <v>0</v>
      </c>
      <c r="I74" s="3">
        <f>IF($B74="","",IFERROR(INDEX('GA4'!$B:$B,MATCH(SUBSTITUTE($B74,"https://www.lipid.co.uk",""),'GA4'!$A:$A,0)),0))</f>
        <v>21</v>
      </c>
      <c r="J74" s="6"/>
      <c r="K74" s="6"/>
      <c r="L74" s="7"/>
      <c r="M74" s="3" t="s">
        <v>18</v>
      </c>
      <c r="N74" s="3" t="s">
        <v>19</v>
      </c>
    </row>
    <row r="75" spans="1:14" ht="25" x14ac:dyDescent="0.35">
      <c r="A75" s="3">
        <v>74</v>
      </c>
      <c r="B75" s="4" t="s">
        <v>138</v>
      </c>
      <c r="C75" s="5" t="s">
        <v>109</v>
      </c>
      <c r="D75" s="5" t="s">
        <v>58</v>
      </c>
      <c r="E75" s="6"/>
      <c r="F75" s="5" t="str">
        <f t="shared" si="2"/>
        <v>Migrate as is</v>
      </c>
      <c r="G75" s="5" t="s">
        <v>139</v>
      </c>
      <c r="H75" s="3">
        <f>IF($B75="","",IFERROR(INDEX(GSC!$B:$B,MATCH($B75,GSC!$A:$A,0)),0))</f>
        <v>7</v>
      </c>
      <c r="I75" s="3">
        <f>IF($B75="","",IFERROR(INDEX('GA4'!$B:$B,MATCH(SUBSTITUTE($B75,"https://www.lipid.co.uk",""),'GA4'!$A:$A,0)),0))</f>
        <v>16</v>
      </c>
      <c r="J75" s="6"/>
      <c r="K75" s="6"/>
      <c r="L75" s="7"/>
      <c r="M75" s="3" t="s">
        <v>18</v>
      </c>
      <c r="N75" s="3" t="s">
        <v>19</v>
      </c>
    </row>
    <row r="76" spans="1:14" ht="37.5" x14ac:dyDescent="0.35">
      <c r="A76" s="3">
        <v>75</v>
      </c>
      <c r="B76" s="4" t="s">
        <v>140</v>
      </c>
      <c r="C76" s="5" t="s">
        <v>109</v>
      </c>
      <c r="D76" s="5" t="s">
        <v>58</v>
      </c>
      <c r="E76" s="6"/>
      <c r="F76" s="5" t="str">
        <f t="shared" si="2"/>
        <v>Migrate as is</v>
      </c>
      <c r="G76" s="5" t="s">
        <v>139</v>
      </c>
      <c r="H76" s="3">
        <f>IF($B76="","",IFERROR(INDEX(GSC!$B:$B,MATCH($B76,GSC!$A:$A,0)),0))</f>
        <v>0</v>
      </c>
      <c r="I76" s="3">
        <f>IF($B76="","",IFERROR(INDEX('GA4'!$B:$B,MATCH(SUBSTITUTE($B76,"https://www.lipid.co.uk",""),'GA4'!$A:$A,0)),0))</f>
        <v>7</v>
      </c>
      <c r="J76" s="6"/>
      <c r="K76" s="6"/>
      <c r="L76" s="7"/>
      <c r="M76" s="3" t="s">
        <v>18</v>
      </c>
      <c r="N76" s="3" t="s">
        <v>19</v>
      </c>
    </row>
    <row r="77" spans="1:14" ht="25" x14ac:dyDescent="0.35">
      <c r="A77" s="3">
        <v>76</v>
      </c>
      <c r="B77" s="4" t="s">
        <v>141</v>
      </c>
      <c r="C77" s="5" t="s">
        <v>109</v>
      </c>
      <c r="D77" s="5" t="s">
        <v>67</v>
      </c>
      <c r="E77" s="6"/>
      <c r="F77" s="5" t="str">
        <f t="shared" si="2"/>
        <v>Retire</v>
      </c>
      <c r="G77" s="5" t="s">
        <v>118</v>
      </c>
      <c r="H77" s="3">
        <f>IF($B77="","",IFERROR(INDEX(GSC!$B:$B,MATCH($B77,GSC!$A:$A,0)),0))</f>
        <v>6</v>
      </c>
      <c r="I77" s="3">
        <f>IF($B77="","",IFERROR(INDEX('GA4'!$B:$B,MATCH(SUBSTITUTE($B77,"https://www.lipid.co.uk",""),'GA4'!$A:$A,0)),0))</f>
        <v>12</v>
      </c>
      <c r="J77" s="6"/>
      <c r="K77" s="6"/>
      <c r="L77" s="7"/>
      <c r="M77" s="3" t="s">
        <v>18</v>
      </c>
      <c r="N77" s="3" t="s">
        <v>19</v>
      </c>
    </row>
    <row r="78" spans="1:14" ht="25" x14ac:dyDescent="0.35">
      <c r="A78" s="3">
        <v>77</v>
      </c>
      <c r="B78" s="4" t="s">
        <v>142</v>
      </c>
      <c r="C78" s="5" t="s">
        <v>109</v>
      </c>
      <c r="D78" s="5" t="s">
        <v>67</v>
      </c>
      <c r="E78" s="6"/>
      <c r="F78" s="5" t="str">
        <f t="shared" si="2"/>
        <v>Retire</v>
      </c>
      <c r="G78" s="5" t="s">
        <v>118</v>
      </c>
      <c r="H78" s="3">
        <f>IF($B78="","",IFERROR(INDEX(GSC!$B:$B,MATCH($B78,GSC!$A:$A,0)),0))</f>
        <v>0</v>
      </c>
      <c r="I78" s="3">
        <f>IF($B78="","",IFERROR(INDEX('GA4'!$B:$B,MATCH(SUBSTITUTE($B78,"https://www.lipid.co.uk",""),'GA4'!$A:$A,0)),0))</f>
        <v>4</v>
      </c>
      <c r="J78" s="6"/>
      <c r="K78" s="6"/>
      <c r="L78" s="7"/>
      <c r="M78" s="3" t="s">
        <v>18</v>
      </c>
      <c r="N78" s="3" t="s">
        <v>19</v>
      </c>
    </row>
    <row r="79" spans="1:14" ht="25" x14ac:dyDescent="0.35">
      <c r="A79" s="3">
        <v>78</v>
      </c>
      <c r="B79" s="4" t="s">
        <v>143</v>
      </c>
      <c r="C79" s="5" t="s">
        <v>109</v>
      </c>
      <c r="D79" s="5" t="s">
        <v>67</v>
      </c>
      <c r="E79" s="6"/>
      <c r="F79" s="5" t="str">
        <f t="shared" si="2"/>
        <v>Retire</v>
      </c>
      <c r="G79" s="5" t="s">
        <v>118</v>
      </c>
      <c r="H79" s="3">
        <f>IF($B79="","",IFERROR(INDEX(GSC!$B:$B,MATCH($B79,GSC!$A:$A,0)),0))</f>
        <v>0</v>
      </c>
      <c r="I79" s="3">
        <f>IF($B79="","",IFERROR(INDEX('GA4'!$B:$B,MATCH(SUBSTITUTE($B79,"https://www.lipid.co.uk",""),'GA4'!$A:$A,0)),0))</f>
        <v>2</v>
      </c>
      <c r="J79" s="6"/>
      <c r="K79" s="6"/>
      <c r="L79" s="7"/>
      <c r="M79" s="3" t="s">
        <v>18</v>
      </c>
      <c r="N79" s="3" t="s">
        <v>19</v>
      </c>
    </row>
    <row r="80" spans="1:14" ht="37.5" x14ac:dyDescent="0.35">
      <c r="A80" s="3">
        <v>79</v>
      </c>
      <c r="B80" s="4" t="s">
        <v>144</v>
      </c>
      <c r="C80" s="5" t="s">
        <v>109</v>
      </c>
      <c r="D80" s="5" t="s">
        <v>67</v>
      </c>
      <c r="E80" s="6"/>
      <c r="F80" s="5" t="str">
        <f t="shared" si="2"/>
        <v>Retire</v>
      </c>
      <c r="G80" s="5" t="s">
        <v>118</v>
      </c>
      <c r="H80" s="3">
        <f>IF($B80="","",IFERROR(INDEX(GSC!$B:$B,MATCH($B80,GSC!$A:$A,0)),0))</f>
        <v>4</v>
      </c>
      <c r="I80" s="3">
        <f>IF($B80="","",IFERROR(INDEX('GA4'!$B:$B,MATCH(SUBSTITUTE($B80,"https://www.lipid.co.uk",""),'GA4'!$A:$A,0)),0))</f>
        <v>14</v>
      </c>
      <c r="J80" s="6"/>
      <c r="K80" s="6"/>
      <c r="L80" s="7"/>
      <c r="M80" s="3" t="s">
        <v>18</v>
      </c>
      <c r="N80" s="3" t="s">
        <v>19</v>
      </c>
    </row>
    <row r="81" spans="1:14" x14ac:dyDescent="0.35">
      <c r="A81" s="3">
        <v>80</v>
      </c>
      <c r="B81" s="4" t="s">
        <v>145</v>
      </c>
      <c r="C81" s="5" t="s">
        <v>109</v>
      </c>
      <c r="D81" s="5" t="s">
        <v>67</v>
      </c>
      <c r="E81" s="6"/>
      <c r="F81" s="5" t="str">
        <f t="shared" si="2"/>
        <v>Retire</v>
      </c>
      <c r="G81" s="5" t="s">
        <v>146</v>
      </c>
      <c r="H81" s="3">
        <f>IF($B81="","",IFERROR(INDEX(GSC!$B:$B,MATCH($B81,GSC!$A:$A,0)),0))</f>
        <v>0</v>
      </c>
      <c r="I81" s="3">
        <f>IF($B81="","",IFERROR(INDEX('GA4'!$B:$B,MATCH(SUBSTITUTE($B81,"https://www.lipid.co.uk",""),'GA4'!$A:$A,0)),0))</f>
        <v>3</v>
      </c>
      <c r="J81" s="6"/>
      <c r="K81" s="6"/>
      <c r="L81" s="7"/>
      <c r="M81" s="3" t="s">
        <v>18</v>
      </c>
      <c r="N81" s="3" t="s">
        <v>19</v>
      </c>
    </row>
    <row r="82" spans="1:14" ht="25" x14ac:dyDescent="0.35">
      <c r="A82" s="3">
        <v>81</v>
      </c>
      <c r="B82" s="4" t="s">
        <v>147</v>
      </c>
      <c r="C82" s="5" t="s">
        <v>109</v>
      </c>
      <c r="D82" s="5" t="s">
        <v>24</v>
      </c>
      <c r="E82" s="6"/>
      <c r="F82" s="5" t="str">
        <f t="shared" si="2"/>
        <v>Merge</v>
      </c>
      <c r="G82" s="5" t="s">
        <v>148</v>
      </c>
      <c r="H82" s="3">
        <f>IF($B82="","",IFERROR(INDEX(GSC!$B:$B,MATCH($B82,GSC!$A:$A,0)),0))</f>
        <v>11</v>
      </c>
      <c r="I82" s="3">
        <f>IF($B82="","",IFERROR(INDEX('GA4'!$B:$B,MATCH(SUBSTITUTE($B82,"https://www.lipid.co.uk",""),'GA4'!$A:$A,0)),0))</f>
        <v>31</v>
      </c>
      <c r="J82" s="6"/>
      <c r="K82" s="6"/>
      <c r="L82" s="7"/>
      <c r="M82" s="3" t="s">
        <v>18</v>
      </c>
      <c r="N82" s="3" t="s">
        <v>19</v>
      </c>
    </row>
    <row r="83" spans="1:14" x14ac:dyDescent="0.35">
      <c r="A83" s="3">
        <v>82</v>
      </c>
      <c r="B83" s="4" t="s">
        <v>149</v>
      </c>
      <c r="C83" s="5" t="s">
        <v>109</v>
      </c>
      <c r="D83" s="5" t="s">
        <v>58</v>
      </c>
      <c r="E83" s="6"/>
      <c r="F83" s="5" t="str">
        <f t="shared" si="2"/>
        <v>Migrate as is</v>
      </c>
      <c r="G83" s="5" t="s">
        <v>150</v>
      </c>
      <c r="H83" s="3">
        <f>IF($B83="","",IFERROR(INDEX(GSC!$B:$B,MATCH($B83,GSC!$A:$A,0)),0))</f>
        <v>23</v>
      </c>
      <c r="I83" s="3">
        <f>IF($B83="","",IFERROR(INDEX('GA4'!$B:$B,MATCH(SUBSTITUTE($B83,"https://www.lipid.co.uk",""),'GA4'!$A:$A,0)),0))</f>
        <v>100</v>
      </c>
      <c r="J83" s="6"/>
      <c r="K83" s="6"/>
      <c r="L83" s="7"/>
      <c r="M83" s="3" t="s">
        <v>18</v>
      </c>
      <c r="N83" s="3" t="s">
        <v>19</v>
      </c>
    </row>
    <row r="84" spans="1:14" ht="25" x14ac:dyDescent="0.35">
      <c r="A84" s="3">
        <v>83</v>
      </c>
      <c r="B84" s="4" t="s">
        <v>151</v>
      </c>
      <c r="C84" s="5" t="s">
        <v>109</v>
      </c>
      <c r="D84" s="5" t="s">
        <v>58</v>
      </c>
      <c r="E84" s="6"/>
      <c r="F84" s="5" t="str">
        <f t="shared" si="2"/>
        <v>Migrate as is</v>
      </c>
      <c r="G84" s="5" t="s">
        <v>152</v>
      </c>
      <c r="H84" s="3">
        <f>IF($B84="","",IFERROR(INDEX(GSC!$B:$B,MATCH($B84,GSC!$A:$A,0)),0))</f>
        <v>13</v>
      </c>
      <c r="I84" s="3">
        <f>IF($B84="","",IFERROR(INDEX('GA4'!$B:$B,MATCH(SUBSTITUTE($B84,"https://www.lipid.co.uk",""),'GA4'!$A:$A,0)),0))</f>
        <v>28</v>
      </c>
      <c r="J84" s="6"/>
      <c r="K84" s="6"/>
      <c r="L84" s="7"/>
      <c r="M84" s="3" t="s">
        <v>18</v>
      </c>
      <c r="N84" s="3" t="s">
        <v>19</v>
      </c>
    </row>
    <row r="85" spans="1:14" x14ac:dyDescent="0.35">
      <c r="A85" s="3">
        <v>84</v>
      </c>
      <c r="B85" s="4" t="s">
        <v>153</v>
      </c>
      <c r="C85" s="5" t="s">
        <v>109</v>
      </c>
      <c r="D85" s="5" t="s">
        <v>67</v>
      </c>
      <c r="E85" s="6"/>
      <c r="F85" s="5" t="str">
        <f t="shared" si="2"/>
        <v>Retire</v>
      </c>
      <c r="G85" s="5" t="s">
        <v>118</v>
      </c>
      <c r="H85" s="3">
        <f>IF($B85="","",IFERROR(INDEX(GSC!$B:$B,MATCH($B85,GSC!$A:$A,0)),0))</f>
        <v>0</v>
      </c>
      <c r="I85" s="3">
        <f>IF($B85="","",IFERROR(INDEX('GA4'!$B:$B,MATCH(SUBSTITUTE($B85,"https://www.lipid.co.uk",""),'GA4'!$A:$A,0)),0))</f>
        <v>2</v>
      </c>
      <c r="J85" s="6"/>
      <c r="K85" s="6"/>
      <c r="L85" s="7"/>
      <c r="M85" s="3" t="s">
        <v>18</v>
      </c>
      <c r="N85" s="3" t="s">
        <v>19</v>
      </c>
    </row>
    <row r="86" spans="1:14" ht="37.5" x14ac:dyDescent="0.35">
      <c r="A86" s="3">
        <v>85</v>
      </c>
      <c r="B86" s="4" t="s">
        <v>154</v>
      </c>
      <c r="C86" s="5" t="s">
        <v>109</v>
      </c>
      <c r="D86" s="5" t="s">
        <v>67</v>
      </c>
      <c r="E86" s="6"/>
      <c r="F86" s="5" t="str">
        <f t="shared" si="2"/>
        <v>Retire</v>
      </c>
      <c r="G86" s="5" t="s">
        <v>118</v>
      </c>
      <c r="H86" s="3">
        <f>IF($B86="","",IFERROR(INDEX(GSC!$B:$B,MATCH($B86,GSC!$A:$A,0)),0))</f>
        <v>1</v>
      </c>
      <c r="I86" s="3">
        <f>IF($B86="","",IFERROR(INDEX('GA4'!$B:$B,MATCH(SUBSTITUTE($B86,"https://www.lipid.co.uk",""),'GA4'!$A:$A,0)),0))</f>
        <v>5</v>
      </c>
      <c r="J86" s="6"/>
      <c r="K86" s="6"/>
      <c r="L86" s="7"/>
      <c r="M86" s="3" t="s">
        <v>18</v>
      </c>
      <c r="N86" s="3" t="s">
        <v>19</v>
      </c>
    </row>
    <row r="87" spans="1:14" x14ac:dyDescent="0.35">
      <c r="A87" s="3">
        <v>86</v>
      </c>
      <c r="B87" s="4" t="s">
        <v>155</v>
      </c>
      <c r="C87" s="5" t="s">
        <v>109</v>
      </c>
      <c r="D87" s="5" t="s">
        <v>58</v>
      </c>
      <c r="E87" s="6"/>
      <c r="F87" s="5" t="str">
        <f t="shared" si="2"/>
        <v>Migrate as is</v>
      </c>
      <c r="G87" s="5" t="s">
        <v>127</v>
      </c>
      <c r="H87" s="3">
        <f>IF($B87="","",IFERROR(INDEX(GSC!$B:$B,MATCH($B87,GSC!$A:$A,0)),0))</f>
        <v>5</v>
      </c>
      <c r="I87" s="3">
        <f>IF($B87="","",IFERROR(INDEX('GA4'!$B:$B,MATCH(SUBSTITUTE($B87,"https://www.lipid.co.uk",""),'GA4'!$A:$A,0)),0))</f>
        <v>21</v>
      </c>
      <c r="J87" s="6"/>
      <c r="K87" s="6"/>
      <c r="L87" s="7"/>
      <c r="M87" s="3" t="s">
        <v>18</v>
      </c>
      <c r="N87" s="3" t="s">
        <v>19</v>
      </c>
    </row>
    <row r="88" spans="1:14" ht="37.5" x14ac:dyDescent="0.35">
      <c r="A88" s="3">
        <v>87</v>
      </c>
      <c r="B88" s="4" t="s">
        <v>156</v>
      </c>
      <c r="C88" s="5" t="s">
        <v>109</v>
      </c>
      <c r="D88" s="5" t="s">
        <v>58</v>
      </c>
      <c r="E88" s="6"/>
      <c r="F88" s="5" t="str">
        <f t="shared" si="2"/>
        <v>Migrate as is</v>
      </c>
      <c r="G88" s="5" t="s">
        <v>157</v>
      </c>
      <c r="H88" s="3">
        <f>IF($B88="","",IFERROR(INDEX(GSC!$B:$B,MATCH($B88,GSC!$A:$A,0)),0))</f>
        <v>1</v>
      </c>
      <c r="I88" s="3">
        <f>IF($B88="","",IFERROR(INDEX('GA4'!$B:$B,MATCH(SUBSTITUTE($B88,"https://www.lipid.co.uk",""),'GA4'!$A:$A,0)),0))</f>
        <v>9</v>
      </c>
      <c r="J88" s="6"/>
      <c r="K88" s="6"/>
      <c r="L88" s="7"/>
      <c r="M88" s="3" t="s">
        <v>18</v>
      </c>
      <c r="N88" s="3" t="s">
        <v>19</v>
      </c>
    </row>
    <row r="89" spans="1:14" ht="25" x14ac:dyDescent="0.35">
      <c r="A89" s="3">
        <v>88</v>
      </c>
      <c r="B89" s="4" t="s">
        <v>158</v>
      </c>
      <c r="C89" s="5" t="s">
        <v>109</v>
      </c>
      <c r="D89" s="5" t="s">
        <v>67</v>
      </c>
      <c r="E89" s="6"/>
      <c r="F89" s="5" t="str">
        <f t="shared" si="2"/>
        <v>Retire</v>
      </c>
      <c r="G89" s="5" t="s">
        <v>159</v>
      </c>
      <c r="H89" s="3">
        <f>IF($B89="","",IFERROR(INDEX(GSC!$B:$B,MATCH($B89,GSC!$A:$A,0)),0))</f>
        <v>4</v>
      </c>
      <c r="I89" s="3">
        <f>IF($B89="","",IFERROR(INDEX('GA4'!$B:$B,MATCH(SUBSTITUTE($B89,"https://www.lipid.co.uk",""),'GA4'!$A:$A,0)),0))</f>
        <v>18</v>
      </c>
      <c r="J89" s="6"/>
      <c r="K89" s="6"/>
      <c r="L89" s="7"/>
      <c r="M89" s="3" t="s">
        <v>18</v>
      </c>
      <c r="N89" s="3" t="s">
        <v>19</v>
      </c>
    </row>
    <row r="90" spans="1:14" ht="25" x14ac:dyDescent="0.35">
      <c r="A90" s="3">
        <v>89</v>
      </c>
      <c r="B90" s="4" t="s">
        <v>160</v>
      </c>
      <c r="C90" s="5" t="s">
        <v>109</v>
      </c>
      <c r="D90" s="5" t="s">
        <v>67</v>
      </c>
      <c r="E90" s="6"/>
      <c r="F90" s="5" t="str">
        <f t="shared" si="2"/>
        <v>Retire</v>
      </c>
      <c r="G90" s="5" t="s">
        <v>161</v>
      </c>
      <c r="H90" s="3">
        <f>IF($B90="","",IFERROR(INDEX(GSC!$B:$B,MATCH($B90,GSC!$A:$A,0)),0))</f>
        <v>0</v>
      </c>
      <c r="I90" s="3">
        <f>IF($B90="","",IFERROR(INDEX('GA4'!$B:$B,MATCH(SUBSTITUTE($B90,"https://www.lipid.co.uk",""),'GA4'!$A:$A,0)),0))</f>
        <v>3</v>
      </c>
      <c r="J90" s="6"/>
      <c r="K90" s="6"/>
      <c r="L90" s="7"/>
      <c r="M90" s="3" t="s">
        <v>18</v>
      </c>
      <c r="N90" s="3" t="s">
        <v>19</v>
      </c>
    </row>
    <row r="91" spans="1:14" ht="25" x14ac:dyDescent="0.35">
      <c r="A91" s="3">
        <v>90</v>
      </c>
      <c r="B91" s="4" t="s">
        <v>162</v>
      </c>
      <c r="C91" s="5" t="s">
        <v>109</v>
      </c>
      <c r="D91" s="5" t="s">
        <v>67</v>
      </c>
      <c r="E91" s="6"/>
      <c r="F91" s="5" t="str">
        <f t="shared" si="2"/>
        <v>Retire</v>
      </c>
      <c r="G91" s="5" t="s">
        <v>163</v>
      </c>
      <c r="H91" s="3">
        <f>IF($B91="","",IFERROR(INDEX(GSC!$B:$B,MATCH($B91,GSC!$A:$A,0)),0))</f>
        <v>5</v>
      </c>
      <c r="I91" s="3">
        <f>IF($B91="","",IFERROR(INDEX('GA4'!$B:$B,MATCH(SUBSTITUTE($B91,"https://www.lipid.co.uk",""),'GA4'!$A:$A,0)),0))</f>
        <v>17</v>
      </c>
      <c r="J91" s="6"/>
      <c r="K91" s="6"/>
      <c r="L91" s="7"/>
      <c r="M91" s="3" t="s">
        <v>18</v>
      </c>
      <c r="N91" s="3" t="s">
        <v>19</v>
      </c>
    </row>
    <row r="92" spans="1:14" ht="37.5" x14ac:dyDescent="0.35">
      <c r="A92" s="3">
        <v>91</v>
      </c>
      <c r="B92" s="4" t="s">
        <v>164</v>
      </c>
      <c r="C92" s="5" t="s">
        <v>109</v>
      </c>
      <c r="D92" s="5" t="s">
        <v>67</v>
      </c>
      <c r="E92" s="6"/>
      <c r="F92" s="5" t="str">
        <f t="shared" si="2"/>
        <v>Retire</v>
      </c>
      <c r="G92" s="5" t="s">
        <v>118</v>
      </c>
      <c r="H92" s="3">
        <f>IF($B92="","",IFERROR(INDEX(GSC!$B:$B,MATCH($B92,GSC!$A:$A,0)),0))</f>
        <v>0</v>
      </c>
      <c r="I92" s="3">
        <f>IF($B92="","",IFERROR(INDEX('GA4'!$B:$B,MATCH(SUBSTITUTE($B92,"https://www.lipid.co.uk",""),'GA4'!$A:$A,0)),0))</f>
        <v>17</v>
      </c>
      <c r="J92" s="6"/>
      <c r="K92" s="6"/>
      <c r="L92" s="7"/>
      <c r="M92" s="3" t="s">
        <v>18</v>
      </c>
      <c r="N92" s="3" t="s">
        <v>19</v>
      </c>
    </row>
    <row r="93" spans="1:14" x14ac:dyDescent="0.35">
      <c r="A93" s="3">
        <v>92</v>
      </c>
      <c r="B93" s="4" t="s">
        <v>165</v>
      </c>
      <c r="C93" s="5" t="s">
        <v>109</v>
      </c>
      <c r="D93" s="5" t="s">
        <v>24</v>
      </c>
      <c r="E93" s="6"/>
      <c r="F93" s="5" t="str">
        <f t="shared" si="2"/>
        <v>Merge</v>
      </c>
      <c r="G93" s="5" t="s">
        <v>166</v>
      </c>
      <c r="H93" s="3">
        <f>IF($B93="","",IFERROR(INDEX(GSC!$B:$B,MATCH($B93,GSC!$A:$A,0)),0))</f>
        <v>1</v>
      </c>
      <c r="I93" s="3">
        <f>IF($B93="","",IFERROR(INDEX('GA4'!$B:$B,MATCH(SUBSTITUTE($B93,"https://www.lipid.co.uk",""),'GA4'!$A:$A,0)),0))</f>
        <v>16</v>
      </c>
      <c r="J93" s="6"/>
      <c r="K93" s="6"/>
      <c r="L93" s="7"/>
      <c r="M93" s="3" t="s">
        <v>18</v>
      </c>
      <c r="N93" s="3" t="s">
        <v>19</v>
      </c>
    </row>
    <row r="94" spans="1:14" ht="25" x14ac:dyDescent="0.35">
      <c r="A94" s="3">
        <v>93</v>
      </c>
      <c r="B94" s="4" t="s">
        <v>167</v>
      </c>
      <c r="C94" s="5" t="s">
        <v>109</v>
      </c>
      <c r="D94" s="5" t="s">
        <v>67</v>
      </c>
      <c r="E94" s="6"/>
      <c r="F94" s="5" t="str">
        <f t="shared" si="2"/>
        <v>Retire</v>
      </c>
      <c r="G94" s="5" t="s">
        <v>168</v>
      </c>
      <c r="H94" s="3">
        <f>IF($B94="","",IFERROR(INDEX(GSC!$B:$B,MATCH($B94,GSC!$A:$A,0)),0))</f>
        <v>0</v>
      </c>
      <c r="I94" s="3">
        <f>IF($B94="","",IFERROR(INDEX('GA4'!$B:$B,MATCH(SUBSTITUTE($B94,"https://www.lipid.co.uk",""),'GA4'!$A:$A,0)),0))</f>
        <v>5</v>
      </c>
      <c r="J94" s="6"/>
      <c r="K94" s="6"/>
      <c r="L94" s="7"/>
      <c r="M94" s="3" t="s">
        <v>18</v>
      </c>
      <c r="N94" s="3" t="s">
        <v>19</v>
      </c>
    </row>
    <row r="95" spans="1:14" ht="25" x14ac:dyDescent="0.35">
      <c r="A95" s="3">
        <v>94</v>
      </c>
      <c r="B95" s="4" t="s">
        <v>169</v>
      </c>
      <c r="C95" s="5" t="s">
        <v>109</v>
      </c>
      <c r="D95" s="5" t="s">
        <v>67</v>
      </c>
      <c r="E95" s="6"/>
      <c r="F95" s="5" t="str">
        <f t="shared" si="2"/>
        <v>Retire</v>
      </c>
      <c r="G95" s="5" t="s">
        <v>170</v>
      </c>
      <c r="H95" s="3">
        <f>IF($B95="","",IFERROR(INDEX(GSC!$B:$B,MATCH($B95,GSC!$A:$A,0)),0))</f>
        <v>2</v>
      </c>
      <c r="I95" s="3">
        <f>IF($B95="","",IFERROR(INDEX('GA4'!$B:$B,MATCH(SUBSTITUTE($B95,"https://www.lipid.co.uk",""),'GA4'!$A:$A,0)),0))</f>
        <v>3</v>
      </c>
      <c r="J95" s="6"/>
      <c r="K95" s="6"/>
      <c r="L95" s="7"/>
      <c r="M95" s="3" t="s">
        <v>18</v>
      </c>
      <c r="N95" s="3" t="s">
        <v>19</v>
      </c>
    </row>
    <row r="96" spans="1:14" x14ac:dyDescent="0.35">
      <c r="A96" s="3">
        <v>95</v>
      </c>
      <c r="B96" s="4" t="s">
        <v>171</v>
      </c>
      <c r="C96" s="5" t="s">
        <v>172</v>
      </c>
      <c r="D96" s="5" t="s">
        <v>67</v>
      </c>
      <c r="E96" s="6"/>
      <c r="F96" s="5" t="str">
        <f t="shared" si="2"/>
        <v>Retire</v>
      </c>
      <c r="G96" s="5" t="s">
        <v>173</v>
      </c>
      <c r="H96" s="3">
        <f>IF($B96="","",IFERROR(INDEX(GSC!$B:$B,MATCH($B96,GSC!$A:$A,0)),0))</f>
        <v>0</v>
      </c>
      <c r="I96" s="3">
        <f>IF($B96="","",IFERROR(INDEX('GA4'!$B:$B,MATCH(SUBSTITUTE($B96,"https://www.lipid.co.uk",""),'GA4'!$A:$A,0)),0))</f>
        <v>26</v>
      </c>
      <c r="J96" s="6"/>
      <c r="K96" s="6"/>
      <c r="L96" s="7"/>
      <c r="M96" s="3" t="s">
        <v>18</v>
      </c>
      <c r="N96" s="3" t="s">
        <v>19</v>
      </c>
    </row>
    <row r="97" spans="1:14" x14ac:dyDescent="0.35">
      <c r="A97" s="3">
        <v>96</v>
      </c>
      <c r="B97" s="4" t="s">
        <v>174</v>
      </c>
      <c r="C97" s="5" t="s">
        <v>172</v>
      </c>
      <c r="D97" s="5" t="s">
        <v>67</v>
      </c>
      <c r="E97" s="6"/>
      <c r="F97" s="5" t="str">
        <f t="shared" si="2"/>
        <v>Retire</v>
      </c>
      <c r="G97" s="5" t="s">
        <v>175</v>
      </c>
      <c r="H97" s="3">
        <f>IF($B97="","",IFERROR(INDEX(GSC!$B:$B,MATCH($B97,GSC!$A:$A,0)),0))</f>
        <v>0</v>
      </c>
      <c r="I97" s="3">
        <f>IF($B97="","",IFERROR(INDEX('GA4'!$B:$B,MATCH(SUBSTITUTE($B97,"https://www.lipid.co.uk",""),'GA4'!$A:$A,0)),0))</f>
        <v>0</v>
      </c>
      <c r="J97" s="6"/>
      <c r="K97" s="6"/>
      <c r="L97" s="7"/>
      <c r="M97" s="3" t="s">
        <v>18</v>
      </c>
      <c r="N97" s="3" t="s">
        <v>19</v>
      </c>
    </row>
    <row r="98" spans="1:14" ht="25" x14ac:dyDescent="0.35">
      <c r="A98" s="3">
        <v>97</v>
      </c>
      <c r="B98" s="4" t="s">
        <v>176</v>
      </c>
      <c r="C98" s="5" t="s">
        <v>172</v>
      </c>
      <c r="D98" s="5" t="s">
        <v>67</v>
      </c>
      <c r="E98" s="6"/>
      <c r="F98" s="5" t="str">
        <f t="shared" ref="F98:F129" si="3">IF(B98="","",IF(E98&lt;&gt;"",E98,D98))</f>
        <v>Retire</v>
      </c>
      <c r="G98" s="5" t="s">
        <v>177</v>
      </c>
      <c r="H98" s="3">
        <f>IF($B98="","",IFERROR(INDEX(GSC!$B:$B,MATCH($B98,GSC!$A:$A,0)),0))</f>
        <v>0</v>
      </c>
      <c r="I98" s="3">
        <f>IF($B98="","",IFERROR(INDEX('GA4'!$B:$B,MATCH(SUBSTITUTE($B98,"https://www.lipid.co.uk",""),'GA4'!$A:$A,0)),0))</f>
        <v>1</v>
      </c>
      <c r="J98" s="6"/>
      <c r="K98" s="6"/>
      <c r="L98" s="7"/>
      <c r="M98" s="3" t="s">
        <v>18</v>
      </c>
      <c r="N98" s="3" t="s">
        <v>19</v>
      </c>
    </row>
    <row r="99" spans="1:14" ht="25" x14ac:dyDescent="0.35">
      <c r="A99" s="3">
        <v>98</v>
      </c>
      <c r="B99" s="4" t="s">
        <v>178</v>
      </c>
      <c r="C99" s="5" t="s">
        <v>172</v>
      </c>
      <c r="D99" s="5" t="s">
        <v>67</v>
      </c>
      <c r="E99" s="6"/>
      <c r="F99" s="5" t="str">
        <f t="shared" si="3"/>
        <v>Retire</v>
      </c>
      <c r="G99" s="5" t="s">
        <v>179</v>
      </c>
      <c r="H99" s="3">
        <f>IF($B99="","",IFERROR(INDEX(GSC!$B:$B,MATCH($B99,GSC!$A:$A,0)),0))</f>
        <v>1</v>
      </c>
      <c r="I99" s="3">
        <f>IF($B99="","",IFERROR(INDEX('GA4'!$B:$B,MATCH(SUBSTITUTE($B99,"https://www.lipid.co.uk",""),'GA4'!$A:$A,0)),0))</f>
        <v>3</v>
      </c>
      <c r="J99" s="6"/>
      <c r="K99" s="6"/>
      <c r="L99" s="7"/>
      <c r="M99" s="3" t="s">
        <v>18</v>
      </c>
      <c r="N99" s="3" t="s">
        <v>19</v>
      </c>
    </row>
    <row r="100" spans="1:14" ht="25" x14ac:dyDescent="0.35">
      <c r="A100" s="3">
        <v>99</v>
      </c>
      <c r="B100" s="4" t="s">
        <v>180</v>
      </c>
      <c r="C100" s="5" t="s">
        <v>172</v>
      </c>
      <c r="D100" s="5" t="s">
        <v>67</v>
      </c>
      <c r="E100" s="6"/>
      <c r="F100" s="5" t="str">
        <f t="shared" si="3"/>
        <v>Retire</v>
      </c>
      <c r="G100" s="5" t="s">
        <v>181</v>
      </c>
      <c r="H100" s="3">
        <f>IF($B100="","",IFERROR(INDEX(GSC!$B:$B,MATCH($B100,GSC!$A:$A,0)),0))</f>
        <v>23</v>
      </c>
      <c r="I100" s="3">
        <f>IF($B100="","",IFERROR(INDEX('GA4'!$B:$B,MATCH(SUBSTITUTE($B100,"https://www.lipid.co.uk",""),'GA4'!$A:$A,0)),0))</f>
        <v>76</v>
      </c>
      <c r="J100" s="6"/>
      <c r="K100" s="6"/>
      <c r="L100" s="7"/>
      <c r="M100" s="3" t="s">
        <v>18</v>
      </c>
      <c r="N100" s="3" t="s">
        <v>19</v>
      </c>
    </row>
    <row r="101" spans="1:14" x14ac:dyDescent="0.35">
      <c r="A101" s="3">
        <v>100</v>
      </c>
      <c r="B101" s="4" t="s">
        <v>182</v>
      </c>
      <c r="C101" s="5" t="s">
        <v>183</v>
      </c>
      <c r="D101" s="5" t="s">
        <v>24</v>
      </c>
      <c r="E101" s="6"/>
      <c r="F101" s="5" t="str">
        <f t="shared" si="3"/>
        <v>Merge</v>
      </c>
      <c r="G101" s="5" t="s">
        <v>184</v>
      </c>
      <c r="H101" s="3">
        <f>IF($B101="","",IFERROR(INDEX(GSC!$B:$B,MATCH($B101,GSC!$A:$A,0)),0))</f>
        <v>0</v>
      </c>
      <c r="I101" s="3">
        <f>IF($B101="","",IFERROR(INDEX('GA4'!$B:$B,MATCH(SUBSTITUTE($B101,"https://www.lipid.co.uk",""),'GA4'!$A:$A,0)),0))</f>
        <v>3</v>
      </c>
      <c r="J101" s="6"/>
      <c r="K101" s="6"/>
      <c r="L101" s="7"/>
      <c r="M101" s="3" t="s">
        <v>18</v>
      </c>
      <c r="N101" s="3" t="s">
        <v>19</v>
      </c>
    </row>
    <row r="102" spans="1:14" ht="25" x14ac:dyDescent="0.35">
      <c r="A102" s="3">
        <v>101</v>
      </c>
      <c r="B102" s="4" t="s">
        <v>185</v>
      </c>
      <c r="C102" s="5" t="s">
        <v>183</v>
      </c>
      <c r="D102" s="5" t="s">
        <v>67</v>
      </c>
      <c r="E102" s="6"/>
      <c r="F102" s="5" t="str">
        <f t="shared" si="3"/>
        <v>Retire</v>
      </c>
      <c r="G102" s="5" t="s">
        <v>186</v>
      </c>
      <c r="H102" s="3">
        <f>IF($B102="","",IFERROR(INDEX(GSC!$B:$B,MATCH($B102,GSC!$A:$A,0)),0))</f>
        <v>1</v>
      </c>
      <c r="I102" s="3">
        <f>IF($B102="","",IFERROR(INDEX('GA4'!$B:$B,MATCH(SUBSTITUTE($B102,"https://www.lipid.co.uk",""),'GA4'!$A:$A,0)),0))</f>
        <v>2</v>
      </c>
      <c r="J102" s="6"/>
      <c r="K102" s="6"/>
      <c r="L102" s="7"/>
      <c r="M102" s="3" t="s">
        <v>18</v>
      </c>
      <c r="N102" s="3" t="s">
        <v>19</v>
      </c>
    </row>
    <row r="103" spans="1:14" x14ac:dyDescent="0.35">
      <c r="A103" s="3">
        <v>102</v>
      </c>
      <c r="B103" s="4" t="s">
        <v>187</v>
      </c>
      <c r="C103" s="5" t="s">
        <v>188</v>
      </c>
      <c r="D103" s="5" t="s">
        <v>16</v>
      </c>
      <c r="E103" s="6"/>
      <c r="F103" s="5" t="str">
        <f t="shared" si="3"/>
        <v>Rewrite</v>
      </c>
      <c r="G103" s="5" t="s">
        <v>189</v>
      </c>
      <c r="H103" s="3">
        <f>IF($B103="","",IFERROR(INDEX(GSC!$B:$B,MATCH($B103,GSC!$A:$A,0)),0))</f>
        <v>11</v>
      </c>
      <c r="I103" s="3">
        <f>IF($B103="","",IFERROR(INDEX('GA4'!$B:$B,MATCH(SUBSTITUTE($B103,"https://www.lipid.co.uk",""),'GA4'!$A:$A,0)),0))</f>
        <v>224</v>
      </c>
      <c r="J103" s="6"/>
      <c r="K103" s="6"/>
      <c r="L103" s="7"/>
      <c r="M103" s="3" t="s">
        <v>18</v>
      </c>
      <c r="N103" s="3" t="s">
        <v>19</v>
      </c>
    </row>
    <row r="104" spans="1:14" ht="25" x14ac:dyDescent="0.35">
      <c r="A104" s="3">
        <v>103</v>
      </c>
      <c r="B104" s="4" t="s">
        <v>190</v>
      </c>
      <c r="C104" s="5" t="s">
        <v>188</v>
      </c>
      <c r="D104" s="5" t="s">
        <v>16</v>
      </c>
      <c r="E104" s="6"/>
      <c r="F104" s="5" t="str">
        <f t="shared" si="3"/>
        <v>Rewrite</v>
      </c>
      <c r="G104" s="5" t="s">
        <v>191</v>
      </c>
      <c r="H104" s="3">
        <f>IF($B104="","",IFERROR(INDEX(GSC!$B:$B,MATCH($B104,GSC!$A:$A,0)),0))</f>
        <v>0</v>
      </c>
      <c r="I104" s="3">
        <f>IF($B104="","",IFERROR(INDEX('GA4'!$B:$B,MATCH(SUBSTITUTE($B104,"https://www.lipid.co.uk",""),'GA4'!$A:$A,0)),0))</f>
        <v>32</v>
      </c>
      <c r="J104" s="6"/>
      <c r="K104" s="6"/>
      <c r="L104" s="7"/>
      <c r="M104" s="3" t="s">
        <v>18</v>
      </c>
      <c r="N104" s="3" t="s">
        <v>19</v>
      </c>
    </row>
    <row r="105" spans="1:14" ht="25" x14ac:dyDescent="0.35">
      <c r="A105" s="3">
        <v>104</v>
      </c>
      <c r="B105" s="4" t="s">
        <v>192</v>
      </c>
      <c r="C105" s="5" t="s">
        <v>188</v>
      </c>
      <c r="D105" s="5" t="s">
        <v>16</v>
      </c>
      <c r="E105" s="6"/>
      <c r="F105" s="5" t="str">
        <f t="shared" si="3"/>
        <v>Rewrite</v>
      </c>
      <c r="G105" s="5" t="s">
        <v>193</v>
      </c>
      <c r="H105" s="3">
        <f>IF($B105="","",IFERROR(INDEX(GSC!$B:$B,MATCH($B105,GSC!$A:$A,0)),0))</f>
        <v>0</v>
      </c>
      <c r="I105" s="3">
        <f>IF($B105="","",IFERROR(INDEX('GA4'!$B:$B,MATCH(SUBSTITUTE($B105,"https://www.lipid.co.uk",""),'GA4'!$A:$A,0)),0))</f>
        <v>176</v>
      </c>
      <c r="J105" s="6"/>
      <c r="K105" s="6"/>
      <c r="L105" s="7"/>
      <c r="M105" s="3" t="s">
        <v>18</v>
      </c>
      <c r="N105" s="3" t="s">
        <v>19</v>
      </c>
    </row>
    <row r="106" spans="1:14" ht="25" x14ac:dyDescent="0.35">
      <c r="A106" s="3">
        <v>105</v>
      </c>
      <c r="B106" s="4" t="s">
        <v>194</v>
      </c>
      <c r="C106" s="5" t="s">
        <v>188</v>
      </c>
      <c r="D106" s="5" t="s">
        <v>67</v>
      </c>
      <c r="E106" s="6"/>
      <c r="F106" s="5" t="str">
        <f t="shared" si="3"/>
        <v>Retire</v>
      </c>
      <c r="G106" s="5" t="s">
        <v>195</v>
      </c>
      <c r="H106" s="3">
        <f>IF($B106="","",IFERROR(INDEX(GSC!$B:$B,MATCH($B106,GSC!$A:$A,0)),0))</f>
        <v>0</v>
      </c>
      <c r="I106" s="3">
        <f>IF($B106="","",IFERROR(INDEX('GA4'!$B:$B,MATCH(SUBSTITUTE($B106,"https://www.lipid.co.uk",""),'GA4'!$A:$A,0)),0))</f>
        <v>1</v>
      </c>
      <c r="J106" s="6"/>
      <c r="K106" s="6"/>
      <c r="L106" s="7"/>
      <c r="M106" s="3" t="s">
        <v>18</v>
      </c>
      <c r="N106" s="3" t="s">
        <v>19</v>
      </c>
    </row>
    <row r="107" spans="1:14" ht="25" x14ac:dyDescent="0.35">
      <c r="A107" s="3">
        <v>106</v>
      </c>
      <c r="B107" s="4" t="s">
        <v>196</v>
      </c>
      <c r="C107" s="5" t="s">
        <v>197</v>
      </c>
      <c r="D107" s="5" t="s">
        <v>67</v>
      </c>
      <c r="E107" s="6"/>
      <c r="F107" s="5" t="str">
        <f t="shared" si="3"/>
        <v>Retire</v>
      </c>
      <c r="G107" s="5" t="s">
        <v>198</v>
      </c>
      <c r="H107" s="3">
        <f>IF($B107="","",IFERROR(INDEX(GSC!$B:$B,MATCH($B107,GSC!$A:$A,0)),0))</f>
        <v>0</v>
      </c>
      <c r="I107" s="3">
        <f>IF($B107="","",IFERROR(INDEX('GA4'!$B:$B,MATCH(SUBSTITUTE($B107,"https://www.lipid.co.uk",""),'GA4'!$A:$A,0)),0))</f>
        <v>0</v>
      </c>
      <c r="J107" s="6"/>
      <c r="K107" s="6"/>
      <c r="L107" s="7"/>
      <c r="M107" s="3" t="s">
        <v>18</v>
      </c>
      <c r="N107" s="3" t="s">
        <v>19</v>
      </c>
    </row>
    <row r="108" spans="1:14" ht="25" x14ac:dyDescent="0.35">
      <c r="A108" s="3">
        <v>107</v>
      </c>
      <c r="B108" s="4" t="s">
        <v>199</v>
      </c>
      <c r="C108" s="5" t="s">
        <v>197</v>
      </c>
      <c r="D108" s="5" t="s">
        <v>67</v>
      </c>
      <c r="E108" s="6"/>
      <c r="F108" s="5" t="str">
        <f t="shared" si="3"/>
        <v>Retire</v>
      </c>
      <c r="G108" s="5" t="s">
        <v>198</v>
      </c>
      <c r="H108" s="3">
        <f>IF($B108="","",IFERROR(INDEX(GSC!$B:$B,MATCH($B108,GSC!$A:$A,0)),0))</f>
        <v>0</v>
      </c>
      <c r="I108" s="3">
        <f>IF($B108="","",IFERROR(INDEX('GA4'!$B:$B,MATCH(SUBSTITUTE($B108,"https://www.lipid.co.uk",""),'GA4'!$A:$A,0)),0))</f>
        <v>0</v>
      </c>
      <c r="J108" s="6"/>
      <c r="K108" s="6"/>
      <c r="L108" s="7"/>
      <c r="M108" s="3" t="s">
        <v>18</v>
      </c>
      <c r="N108" s="3" t="s">
        <v>19</v>
      </c>
    </row>
    <row r="109" spans="1:14" ht="25" x14ac:dyDescent="0.35">
      <c r="A109" s="3">
        <v>108</v>
      </c>
      <c r="B109" s="4" t="s">
        <v>200</v>
      </c>
      <c r="C109" s="5" t="s">
        <v>197</v>
      </c>
      <c r="D109" s="5" t="s">
        <v>67</v>
      </c>
      <c r="E109" s="6"/>
      <c r="F109" s="5" t="str">
        <f t="shared" si="3"/>
        <v>Retire</v>
      </c>
      <c r="G109" s="5" t="s">
        <v>198</v>
      </c>
      <c r="H109" s="3">
        <f>IF($B109="","",IFERROR(INDEX(GSC!$B:$B,MATCH($B109,GSC!$A:$A,0)),0))</f>
        <v>0</v>
      </c>
      <c r="I109" s="3">
        <f>IF($B109="","",IFERROR(INDEX('GA4'!$B:$B,MATCH(SUBSTITUTE($B109,"https://www.lipid.co.uk",""),'GA4'!$A:$A,0)),0))</f>
        <v>0</v>
      </c>
      <c r="J109" s="6"/>
      <c r="K109" s="6"/>
      <c r="L109" s="7"/>
      <c r="M109" s="3" t="s">
        <v>18</v>
      </c>
      <c r="N109" s="3" t="s">
        <v>19</v>
      </c>
    </row>
    <row r="110" spans="1:14" ht="25" x14ac:dyDescent="0.35">
      <c r="A110" s="3">
        <v>109</v>
      </c>
      <c r="B110" s="4" t="s">
        <v>201</v>
      </c>
      <c r="C110" s="5" t="s">
        <v>197</v>
      </c>
      <c r="D110" s="5" t="s">
        <v>67</v>
      </c>
      <c r="E110" s="6"/>
      <c r="F110" s="5" t="str">
        <f t="shared" si="3"/>
        <v>Retire</v>
      </c>
      <c r="G110" s="5" t="s">
        <v>198</v>
      </c>
      <c r="H110" s="3">
        <f>IF($B110="","",IFERROR(INDEX(GSC!$B:$B,MATCH($B110,GSC!$A:$A,0)),0))</f>
        <v>0</v>
      </c>
      <c r="I110" s="3">
        <f>IF($B110="","",IFERROR(INDEX('GA4'!$B:$B,MATCH(SUBSTITUTE($B110,"https://www.lipid.co.uk",""),'GA4'!$A:$A,0)),0))</f>
        <v>0</v>
      </c>
      <c r="J110" s="6"/>
      <c r="K110" s="6"/>
      <c r="L110" s="7"/>
      <c r="M110" s="3" t="s">
        <v>18</v>
      </c>
      <c r="N110" s="3" t="s">
        <v>19</v>
      </c>
    </row>
    <row r="111" spans="1:14" ht="25" x14ac:dyDescent="0.35">
      <c r="A111" s="3">
        <v>110</v>
      </c>
      <c r="B111" s="4" t="s">
        <v>202</v>
      </c>
      <c r="C111" s="5" t="s">
        <v>197</v>
      </c>
      <c r="D111" s="5" t="s">
        <v>67</v>
      </c>
      <c r="E111" s="6"/>
      <c r="F111" s="5" t="str">
        <f t="shared" si="3"/>
        <v>Retire</v>
      </c>
      <c r="G111" s="5" t="s">
        <v>198</v>
      </c>
      <c r="H111" s="3">
        <f>IF($B111="","",IFERROR(INDEX(GSC!$B:$B,MATCH($B111,GSC!$A:$A,0)),0))</f>
        <v>0</v>
      </c>
      <c r="I111" s="3">
        <f>IF($B111="","",IFERROR(INDEX('GA4'!$B:$B,MATCH(SUBSTITUTE($B111,"https://www.lipid.co.uk",""),'GA4'!$A:$A,0)),0))</f>
        <v>2</v>
      </c>
      <c r="J111" s="6"/>
      <c r="K111" s="6"/>
      <c r="L111" s="7"/>
      <c r="M111" s="3" t="s">
        <v>18</v>
      </c>
      <c r="N111" s="3" t="s">
        <v>19</v>
      </c>
    </row>
    <row r="112" spans="1:14" ht="25" x14ac:dyDescent="0.35">
      <c r="A112" s="3">
        <v>111</v>
      </c>
      <c r="B112" s="4" t="s">
        <v>203</v>
      </c>
      <c r="C112" s="5" t="s">
        <v>197</v>
      </c>
      <c r="D112" s="5" t="s">
        <v>16</v>
      </c>
      <c r="E112" s="6"/>
      <c r="F112" s="5" t="str">
        <f t="shared" si="3"/>
        <v>Rewrite</v>
      </c>
      <c r="G112" s="5" t="s">
        <v>414</v>
      </c>
      <c r="H112" s="3">
        <f>IF($B112="","",IFERROR(INDEX(GSC!$B:$B,MATCH($B112,GSC!$A:$A,0)),0))</f>
        <v>0</v>
      </c>
      <c r="I112" s="3">
        <f>IF($B112="","",IFERROR(INDEX('GA4'!$B:$B,MATCH(SUBSTITUTE($B112,"https://www.lipid.co.uk",""),'GA4'!$A:$A,0)),0))</f>
        <v>0</v>
      </c>
      <c r="J112" s="6"/>
      <c r="K112" s="6"/>
      <c r="L112" s="7"/>
      <c r="M112" s="3" t="s">
        <v>18</v>
      </c>
      <c r="N112" s="3" t="s">
        <v>19</v>
      </c>
    </row>
    <row r="113" spans="1:14" ht="25" x14ac:dyDescent="0.35">
      <c r="A113" s="3">
        <v>112</v>
      </c>
      <c r="B113" s="4" t="s">
        <v>204</v>
      </c>
      <c r="C113" s="5" t="s">
        <v>197</v>
      </c>
      <c r="D113" s="5" t="s">
        <v>67</v>
      </c>
      <c r="E113" s="6"/>
      <c r="F113" s="5" t="str">
        <f t="shared" si="3"/>
        <v>Retire</v>
      </c>
      <c r="G113" s="5" t="s">
        <v>198</v>
      </c>
      <c r="H113" s="3">
        <f>IF($B113="","",IFERROR(INDEX(GSC!$B:$B,MATCH($B113,GSC!$A:$A,0)),0))</f>
        <v>0</v>
      </c>
      <c r="I113" s="3">
        <f>IF($B113="","",IFERROR(INDEX('GA4'!$B:$B,MATCH(SUBSTITUTE($B113,"https://www.lipid.co.uk",""),'GA4'!$A:$A,0)),0))</f>
        <v>0</v>
      </c>
      <c r="J113" s="6"/>
      <c r="K113" s="6"/>
      <c r="L113" s="7"/>
      <c r="M113" s="3" t="s">
        <v>18</v>
      </c>
      <c r="N113" s="3" t="s">
        <v>19</v>
      </c>
    </row>
    <row r="114" spans="1:14" ht="25" x14ac:dyDescent="0.35">
      <c r="A114" s="3">
        <v>113</v>
      </c>
      <c r="B114" s="4" t="s">
        <v>205</v>
      </c>
      <c r="C114" s="5" t="s">
        <v>197</v>
      </c>
      <c r="D114" s="5" t="s">
        <v>67</v>
      </c>
      <c r="E114" s="6"/>
      <c r="F114" s="5" t="str">
        <f t="shared" si="3"/>
        <v>Retire</v>
      </c>
      <c r="G114" s="5" t="s">
        <v>198</v>
      </c>
      <c r="H114" s="3">
        <f>IF($B114="","",IFERROR(INDEX(GSC!$B:$B,MATCH($B114,GSC!$A:$A,0)),0))</f>
        <v>0</v>
      </c>
      <c r="I114" s="3">
        <f>IF($B114="","",IFERROR(INDEX('GA4'!$B:$B,MATCH(SUBSTITUTE($B114,"https://www.lipid.co.uk",""),'GA4'!$A:$A,0)),0))</f>
        <v>0</v>
      </c>
      <c r="J114" s="6"/>
      <c r="K114" s="6"/>
      <c r="L114" s="7"/>
      <c r="M114" s="3" t="s">
        <v>18</v>
      </c>
      <c r="N114" s="3" t="s">
        <v>19</v>
      </c>
    </row>
    <row r="115" spans="1:14" ht="25" x14ac:dyDescent="0.35">
      <c r="A115" s="3">
        <v>114</v>
      </c>
      <c r="B115" s="4" t="s">
        <v>206</v>
      </c>
      <c r="C115" s="5" t="s">
        <v>197</v>
      </c>
      <c r="D115" s="5" t="s">
        <v>67</v>
      </c>
      <c r="E115" s="6"/>
      <c r="F115" s="5" t="str">
        <f t="shared" si="3"/>
        <v>Retire</v>
      </c>
      <c r="G115" s="5" t="s">
        <v>198</v>
      </c>
      <c r="H115" s="3">
        <f>IF($B115="","",IFERROR(INDEX(GSC!$B:$B,MATCH($B115,GSC!$A:$A,0)),0))</f>
        <v>0</v>
      </c>
      <c r="I115" s="3">
        <f>IF($B115="","",IFERROR(INDEX('GA4'!$B:$B,MATCH(SUBSTITUTE($B115,"https://www.lipid.co.uk",""),'GA4'!$A:$A,0)),0))</f>
        <v>0</v>
      </c>
      <c r="J115" s="6"/>
      <c r="K115" s="6"/>
      <c r="L115" s="7"/>
      <c r="M115" s="3" t="s">
        <v>18</v>
      </c>
      <c r="N115" s="3" t="s">
        <v>19</v>
      </c>
    </row>
    <row r="116" spans="1:14" x14ac:dyDescent="0.35">
      <c r="A116" s="3">
        <v>115</v>
      </c>
      <c r="B116" s="4" t="s">
        <v>207</v>
      </c>
      <c r="C116" s="5" t="s">
        <v>197</v>
      </c>
      <c r="D116" s="5" t="s">
        <v>24</v>
      </c>
      <c r="E116" s="6"/>
      <c r="F116" s="5" t="str">
        <f t="shared" si="3"/>
        <v>Merge</v>
      </c>
      <c r="G116" s="5" t="s">
        <v>208</v>
      </c>
      <c r="H116" s="3">
        <f>IF($B116="","",IFERROR(INDEX(GSC!$B:$B,MATCH($B116,GSC!$A:$A,0)),0))</f>
        <v>0</v>
      </c>
      <c r="I116" s="3">
        <f>IF($B116="","",IFERROR(INDEX('GA4'!$B:$B,MATCH(SUBSTITUTE($B116,"https://www.lipid.co.uk",""),'GA4'!$A:$A,0)),0))</f>
        <v>0</v>
      </c>
      <c r="J116" s="6"/>
      <c r="K116" s="6"/>
      <c r="L116" s="7"/>
      <c r="M116" s="3" t="s">
        <v>18</v>
      </c>
      <c r="N116" s="3" t="s">
        <v>19</v>
      </c>
    </row>
    <row r="117" spans="1:14" ht="25" x14ac:dyDescent="0.35">
      <c r="A117" s="3">
        <v>116</v>
      </c>
      <c r="B117" s="4" t="s">
        <v>209</v>
      </c>
      <c r="C117" s="5" t="s">
        <v>197</v>
      </c>
      <c r="D117" s="5" t="s">
        <v>67</v>
      </c>
      <c r="E117" s="6"/>
      <c r="F117" s="5" t="str">
        <f t="shared" si="3"/>
        <v>Retire</v>
      </c>
      <c r="G117" s="5" t="s">
        <v>198</v>
      </c>
      <c r="H117" s="3">
        <f>IF($B117="","",IFERROR(INDEX(GSC!$B:$B,MATCH($B117,GSC!$A:$A,0)),0))</f>
        <v>0</v>
      </c>
      <c r="I117" s="3">
        <f>IF($B117="","",IFERROR(INDEX('GA4'!$B:$B,MATCH(SUBSTITUTE($B117,"https://www.lipid.co.uk",""),'GA4'!$A:$A,0)),0))</f>
        <v>0</v>
      </c>
      <c r="J117" s="6"/>
      <c r="K117" s="6"/>
      <c r="L117" s="7"/>
      <c r="M117" s="3" t="s">
        <v>18</v>
      </c>
      <c r="N117" s="3" t="s">
        <v>19</v>
      </c>
    </row>
    <row r="118" spans="1:14" x14ac:dyDescent="0.35">
      <c r="A118" s="3">
        <v>117</v>
      </c>
      <c r="B118" s="4" t="s">
        <v>210</v>
      </c>
      <c r="C118" s="5" t="s">
        <v>211</v>
      </c>
      <c r="D118" s="5" t="s">
        <v>67</v>
      </c>
      <c r="E118" s="6"/>
      <c r="F118" s="5" t="str">
        <f t="shared" si="3"/>
        <v>Retire</v>
      </c>
      <c r="G118" s="5" t="s">
        <v>212</v>
      </c>
      <c r="H118" s="3">
        <f>IF($B118="","",IFERROR(INDEX(GSC!$B:$B,MATCH($B118,GSC!$A:$A,0)),0))</f>
        <v>0</v>
      </c>
      <c r="I118" s="3">
        <f>IF($B118="","",IFERROR(INDEX('GA4'!$B:$B,MATCH(SUBSTITUTE($B118,"https://www.lipid.co.uk",""),'GA4'!$A:$A,0)),0))</f>
        <v>27</v>
      </c>
      <c r="J118" s="6"/>
      <c r="K118" s="6"/>
      <c r="L118" s="7"/>
      <c r="M118" s="3" t="s">
        <v>18</v>
      </c>
      <c r="N118" s="3" t="s">
        <v>19</v>
      </c>
    </row>
    <row r="119" spans="1:14" x14ac:dyDescent="0.35">
      <c r="A119" s="3">
        <v>118</v>
      </c>
      <c r="B119" s="4" t="s">
        <v>213</v>
      </c>
      <c r="C119" s="5" t="s">
        <v>211</v>
      </c>
      <c r="D119" s="5" t="s">
        <v>67</v>
      </c>
      <c r="E119" s="6"/>
      <c r="F119" s="5" t="str">
        <f t="shared" si="3"/>
        <v>Retire</v>
      </c>
      <c r="G119" s="5" t="s">
        <v>214</v>
      </c>
      <c r="H119" s="3">
        <f>IF($B119="","",IFERROR(INDEX(GSC!$B:$B,MATCH($B119,GSC!$A:$A,0)),0))</f>
        <v>0</v>
      </c>
      <c r="I119" s="3">
        <f>IF($B119="","",IFERROR(INDEX('GA4'!$B:$B,MATCH(SUBSTITUTE($B119,"https://www.lipid.co.uk",""),'GA4'!$A:$A,0)),0))</f>
        <v>26</v>
      </c>
      <c r="J119" s="6"/>
      <c r="K119" s="6"/>
      <c r="L119" s="7"/>
      <c r="M119" s="3" t="s">
        <v>18</v>
      </c>
      <c r="N119" s="3" t="s">
        <v>19</v>
      </c>
    </row>
    <row r="120" spans="1:14" x14ac:dyDescent="0.35">
      <c r="A120" s="3">
        <v>119</v>
      </c>
      <c r="B120" s="4" t="s">
        <v>215</v>
      </c>
      <c r="C120" s="5" t="s">
        <v>211</v>
      </c>
      <c r="D120" s="5" t="s">
        <v>67</v>
      </c>
      <c r="E120" s="6"/>
      <c r="F120" s="5" t="str">
        <f t="shared" si="3"/>
        <v>Retire</v>
      </c>
      <c r="G120" s="5" t="s">
        <v>216</v>
      </c>
      <c r="H120" s="3">
        <f>IF($B120="","",IFERROR(INDEX(GSC!$B:$B,MATCH($B120,GSC!$A:$A,0)),0))</f>
        <v>0</v>
      </c>
      <c r="I120" s="3">
        <f>IF($B120="","",IFERROR(INDEX('GA4'!$B:$B,MATCH(SUBSTITUTE($B120,"https://www.lipid.co.uk",""),'GA4'!$A:$A,0)),0))</f>
        <v>0</v>
      </c>
      <c r="J120" s="6"/>
      <c r="K120" s="6"/>
      <c r="L120" s="7"/>
      <c r="M120" s="3" t="s">
        <v>18</v>
      </c>
      <c r="N120" s="3" t="s">
        <v>19</v>
      </c>
    </row>
    <row r="121" spans="1:14" ht="25" x14ac:dyDescent="0.35">
      <c r="A121" s="3">
        <v>120</v>
      </c>
      <c r="B121" s="4" t="s">
        <v>217</v>
      </c>
      <c r="C121" s="5" t="s">
        <v>218</v>
      </c>
      <c r="D121" s="5" t="s">
        <v>67</v>
      </c>
      <c r="E121" s="6"/>
      <c r="F121" s="5" t="str">
        <f t="shared" si="3"/>
        <v>Retire</v>
      </c>
      <c r="G121" s="5" t="s">
        <v>219</v>
      </c>
      <c r="H121" s="3">
        <f>IF($B121="","",IFERROR(INDEX(GSC!$B:$B,MATCH($B121,GSC!$A:$A,0)),0))</f>
        <v>0</v>
      </c>
      <c r="I121" s="3">
        <f>IF($B121="","",IFERROR(INDEX('GA4'!$B:$B,MATCH(SUBSTITUTE($B121,"https://www.lipid.co.uk",""),'GA4'!$A:$A,0)),0))</f>
        <v>0</v>
      </c>
      <c r="J121" s="6"/>
      <c r="K121" s="6"/>
      <c r="L121" s="7"/>
      <c r="M121" s="3" t="s">
        <v>18</v>
      </c>
      <c r="N121" s="3" t="s">
        <v>19</v>
      </c>
    </row>
    <row r="122" spans="1:14" ht="25" x14ac:dyDescent="0.35">
      <c r="A122" s="3">
        <v>121</v>
      </c>
      <c r="B122" s="4" t="s">
        <v>220</v>
      </c>
      <c r="C122" s="5" t="s">
        <v>218</v>
      </c>
      <c r="D122" s="5" t="s">
        <v>67</v>
      </c>
      <c r="E122" s="6"/>
      <c r="F122" s="5" t="str">
        <f t="shared" si="3"/>
        <v>Retire</v>
      </c>
      <c r="G122" s="5" t="s">
        <v>221</v>
      </c>
      <c r="H122" s="3">
        <f>IF($B122="","",IFERROR(INDEX(GSC!$B:$B,MATCH($B122,GSC!$A:$A,0)),0))</f>
        <v>0</v>
      </c>
      <c r="I122" s="3">
        <f>IF($B122="","",IFERROR(INDEX('GA4'!$B:$B,MATCH(SUBSTITUTE($B122,"https://www.lipid.co.uk",""),'GA4'!$A:$A,0)),0))</f>
        <v>11</v>
      </c>
      <c r="J122" s="6"/>
      <c r="K122" s="6"/>
      <c r="L122" s="7"/>
      <c r="M122" s="3" t="s">
        <v>18</v>
      </c>
      <c r="N122" s="3" t="s">
        <v>19</v>
      </c>
    </row>
    <row r="123" spans="1:14" ht="25" x14ac:dyDescent="0.35">
      <c r="A123" s="3">
        <v>122</v>
      </c>
      <c r="B123" s="4" t="s">
        <v>222</v>
      </c>
      <c r="C123" s="5" t="s">
        <v>218</v>
      </c>
      <c r="D123" s="5" t="s">
        <v>67</v>
      </c>
      <c r="E123" s="6"/>
      <c r="F123" s="5" t="str">
        <f t="shared" si="3"/>
        <v>Retire</v>
      </c>
      <c r="G123" s="5" t="s">
        <v>219</v>
      </c>
      <c r="H123" s="3">
        <f>IF($B123="","",IFERROR(INDEX(GSC!$B:$B,MATCH($B123,GSC!$A:$A,0)),0))</f>
        <v>0</v>
      </c>
      <c r="I123" s="3">
        <f>IF($B123="","",IFERROR(INDEX('GA4'!$B:$B,MATCH(SUBSTITUTE($B123,"https://www.lipid.co.uk",""),'GA4'!$A:$A,0)),0))</f>
        <v>0</v>
      </c>
      <c r="J123" s="6"/>
      <c r="K123" s="6"/>
      <c r="L123" s="7"/>
      <c r="M123" s="3" t="s">
        <v>18</v>
      </c>
      <c r="N123" s="3" t="s">
        <v>19</v>
      </c>
    </row>
    <row r="124" spans="1:14" ht="25" x14ac:dyDescent="0.35">
      <c r="A124" s="3">
        <v>123</v>
      </c>
      <c r="B124" s="4" t="s">
        <v>223</v>
      </c>
      <c r="C124" s="5" t="s">
        <v>218</v>
      </c>
      <c r="D124" s="5" t="s">
        <v>67</v>
      </c>
      <c r="E124" s="6"/>
      <c r="F124" s="5" t="str">
        <f t="shared" si="3"/>
        <v>Retire</v>
      </c>
      <c r="G124" s="5" t="s">
        <v>219</v>
      </c>
      <c r="H124" s="3">
        <f>IF($B124="","",IFERROR(INDEX(GSC!$B:$B,MATCH($B124,GSC!$A:$A,0)),0))</f>
        <v>0</v>
      </c>
      <c r="I124" s="3">
        <f>IF($B124="","",IFERROR(INDEX('GA4'!$B:$B,MATCH(SUBSTITUTE($B124,"https://www.lipid.co.uk",""),'GA4'!$A:$A,0)),0))</f>
        <v>0</v>
      </c>
      <c r="J124" s="6"/>
      <c r="K124" s="6"/>
      <c r="L124" s="7"/>
      <c r="M124" s="3" t="s">
        <v>18</v>
      </c>
      <c r="N124" s="3" t="s">
        <v>19</v>
      </c>
    </row>
    <row r="125" spans="1:14" ht="25" x14ac:dyDescent="0.35">
      <c r="A125" s="3">
        <v>124</v>
      </c>
      <c r="B125" s="4" t="s">
        <v>224</v>
      </c>
      <c r="C125" s="5" t="s">
        <v>218</v>
      </c>
      <c r="D125" s="5" t="s">
        <v>67</v>
      </c>
      <c r="E125" s="6"/>
      <c r="F125" s="5" t="str">
        <f t="shared" si="3"/>
        <v>Retire</v>
      </c>
      <c r="G125" s="5" t="s">
        <v>221</v>
      </c>
      <c r="H125" s="3">
        <f>IF($B125="","",IFERROR(INDEX(GSC!$B:$B,MATCH($B125,GSC!$A:$A,0)),0))</f>
        <v>0</v>
      </c>
      <c r="I125" s="3">
        <f>IF($B125="","",IFERROR(INDEX('GA4'!$B:$B,MATCH(SUBSTITUTE($B125,"https://www.lipid.co.uk",""),'GA4'!$A:$A,0)),0))</f>
        <v>16</v>
      </c>
      <c r="J125" s="6"/>
      <c r="K125" s="6"/>
      <c r="L125" s="7"/>
      <c r="M125" s="3" t="s">
        <v>18</v>
      </c>
      <c r="N125" s="3" t="s">
        <v>19</v>
      </c>
    </row>
    <row r="126" spans="1:14" x14ac:dyDescent="0.35">
      <c r="A126" s="3">
        <v>125</v>
      </c>
      <c r="B126" s="4" t="s">
        <v>225</v>
      </c>
      <c r="C126" s="5" t="s">
        <v>218</v>
      </c>
      <c r="D126" s="5" t="s">
        <v>67</v>
      </c>
      <c r="E126" s="6"/>
      <c r="F126" s="5" t="str">
        <f t="shared" si="3"/>
        <v>Retire</v>
      </c>
      <c r="G126" s="5" t="s">
        <v>226</v>
      </c>
      <c r="H126" s="3">
        <f>IF($B126="","",IFERROR(INDEX(GSC!$B:$B,MATCH($B126,GSC!$A:$A,0)),0))</f>
        <v>0</v>
      </c>
      <c r="I126" s="3">
        <f>IF($B126="","",IFERROR(INDEX('GA4'!$B:$B,MATCH(SUBSTITUTE($B126,"https://www.lipid.co.uk",""),'GA4'!$A:$A,0)),0))</f>
        <v>0</v>
      </c>
      <c r="J126" s="6"/>
      <c r="K126" s="6"/>
      <c r="L126" s="7"/>
      <c r="M126" s="3" t="s">
        <v>18</v>
      </c>
      <c r="N126" s="3" t="s">
        <v>19</v>
      </c>
    </row>
    <row r="127" spans="1:14" x14ac:dyDescent="0.35">
      <c r="F127" s="8" t="str">
        <f t="shared" si="3"/>
        <v/>
      </c>
      <c r="H127" s="8" t="str">
        <f>IF($B127="","",IFERROR(INDEX(GSC!$B:$B,MATCH($B127,GSC!$A:$A,0)),0))</f>
        <v/>
      </c>
      <c r="I127" s="8" t="str">
        <f>IF($B127="","",IFERROR(INDEX('GA4'!$B:$B,MATCH(SUBSTITUTE($B127,"https://www.lipid.co.uk",""),'GA4'!$A:$A,0)),0))</f>
        <v/>
      </c>
    </row>
    <row r="128" spans="1:14" x14ac:dyDescent="0.35">
      <c r="F128" s="8" t="str">
        <f t="shared" si="3"/>
        <v/>
      </c>
      <c r="H128" s="8" t="str">
        <f>IF($B128="","",IFERROR(INDEX(GSC!$B:$B,MATCH($B128,GSC!$A:$A,0)),0))</f>
        <v/>
      </c>
      <c r="I128" s="8" t="str">
        <f>IF($B128="","",IFERROR(INDEX('GA4'!$B:$B,MATCH(SUBSTITUTE($B128,"https://www.lipid.co.uk",""),'GA4'!$A:$A,0)),0))</f>
        <v/>
      </c>
    </row>
    <row r="129" spans="6:9" x14ac:dyDescent="0.35">
      <c r="F129" s="8" t="str">
        <f t="shared" si="3"/>
        <v/>
      </c>
      <c r="H129" s="8" t="str">
        <f>IF($B129="","",IFERROR(INDEX(GSC!$B:$B,MATCH($B129,GSC!$A:$A,0)),0))</f>
        <v/>
      </c>
      <c r="I129" s="8" t="str">
        <f>IF($B129="","",IFERROR(INDEX('GA4'!$B:$B,MATCH(SUBSTITUTE($B129,"https://www.lipid.co.uk",""),'GA4'!$A:$A,0)),0))</f>
        <v/>
      </c>
    </row>
    <row r="130" spans="6:9" x14ac:dyDescent="0.35">
      <c r="F130" s="8" t="str">
        <f t="shared" ref="F130:F161" si="4">IF(B130="","",IF(E130&lt;&gt;"",E130,D130))</f>
        <v/>
      </c>
      <c r="H130" s="8" t="str">
        <f>IF($B130="","",IFERROR(INDEX(GSC!$B:$B,MATCH($B130,GSC!$A:$A,0)),0))</f>
        <v/>
      </c>
      <c r="I130" s="8" t="str">
        <f>IF($B130="","",IFERROR(INDEX('GA4'!$B:$B,MATCH(SUBSTITUTE($B130,"https://www.lipid.co.uk",""),'GA4'!$A:$A,0)),0))</f>
        <v/>
      </c>
    </row>
    <row r="131" spans="6:9" x14ac:dyDescent="0.35">
      <c r="F131" s="8" t="str">
        <f t="shared" si="4"/>
        <v/>
      </c>
      <c r="H131" s="8" t="str">
        <f>IF($B131="","",IFERROR(INDEX(GSC!$B:$B,MATCH($B131,GSC!$A:$A,0)),0))</f>
        <v/>
      </c>
      <c r="I131" s="8" t="str">
        <f>IF($B131="","",IFERROR(INDEX('GA4'!$B:$B,MATCH(SUBSTITUTE($B131,"https://www.lipid.co.uk",""),'GA4'!$A:$A,0)),0))</f>
        <v/>
      </c>
    </row>
    <row r="132" spans="6:9" x14ac:dyDescent="0.35">
      <c r="F132" s="8" t="str">
        <f t="shared" si="4"/>
        <v/>
      </c>
      <c r="H132" s="8" t="str">
        <f>IF($B132="","",IFERROR(INDEX(GSC!$B:$B,MATCH($B132,GSC!$A:$A,0)),0))</f>
        <v/>
      </c>
      <c r="I132" s="8" t="str">
        <f>IF($B132="","",IFERROR(INDEX('GA4'!$B:$B,MATCH(SUBSTITUTE($B132,"https://www.lipid.co.uk",""),'GA4'!$A:$A,0)),0))</f>
        <v/>
      </c>
    </row>
    <row r="133" spans="6:9" x14ac:dyDescent="0.35">
      <c r="F133" s="8" t="str">
        <f t="shared" si="4"/>
        <v/>
      </c>
      <c r="H133" s="8" t="str">
        <f>IF($B133="","",IFERROR(INDEX(GSC!$B:$B,MATCH($B133,GSC!$A:$A,0)),0))</f>
        <v/>
      </c>
      <c r="I133" s="8" t="str">
        <f>IF($B133="","",IFERROR(INDEX('GA4'!$B:$B,MATCH(SUBSTITUTE($B133,"https://www.lipid.co.uk",""),'GA4'!$A:$A,0)),0))</f>
        <v/>
      </c>
    </row>
    <row r="134" spans="6:9" x14ac:dyDescent="0.35">
      <c r="F134" s="8" t="str">
        <f t="shared" si="4"/>
        <v/>
      </c>
      <c r="H134" s="8" t="str">
        <f>IF($B134="","",IFERROR(INDEX(GSC!$B:$B,MATCH($B134,GSC!$A:$A,0)),0))</f>
        <v/>
      </c>
      <c r="I134" s="8" t="str">
        <f>IF($B134="","",IFERROR(INDEX('GA4'!$B:$B,MATCH(SUBSTITUTE($B134,"https://www.lipid.co.uk",""),'GA4'!$A:$A,0)),0))</f>
        <v/>
      </c>
    </row>
    <row r="135" spans="6:9" x14ac:dyDescent="0.35">
      <c r="F135" s="8" t="str">
        <f t="shared" si="4"/>
        <v/>
      </c>
      <c r="H135" s="8" t="str">
        <f>IF($B135="","",IFERROR(INDEX(GSC!$B:$B,MATCH($B135,GSC!$A:$A,0)),0))</f>
        <v/>
      </c>
      <c r="I135" s="8" t="str">
        <f>IF($B135="","",IFERROR(INDEX('GA4'!$B:$B,MATCH(SUBSTITUTE($B135,"https://www.lipid.co.uk",""),'GA4'!$A:$A,0)),0))</f>
        <v/>
      </c>
    </row>
    <row r="136" spans="6:9" x14ac:dyDescent="0.35">
      <c r="F136" s="8" t="str">
        <f t="shared" si="4"/>
        <v/>
      </c>
      <c r="H136" s="8" t="str">
        <f>IF($B136="","",IFERROR(INDEX(GSC!$B:$B,MATCH($B136,GSC!$A:$A,0)),0))</f>
        <v/>
      </c>
      <c r="I136" s="8" t="str">
        <f>IF($B136="","",IFERROR(INDEX('GA4'!$B:$B,MATCH(SUBSTITUTE($B136,"https://www.lipid.co.uk",""),'GA4'!$A:$A,0)),0))</f>
        <v/>
      </c>
    </row>
    <row r="137" spans="6:9" x14ac:dyDescent="0.35">
      <c r="F137" s="8" t="str">
        <f t="shared" si="4"/>
        <v/>
      </c>
      <c r="H137" s="8" t="str">
        <f>IF($B137="","",IFERROR(INDEX(GSC!$B:$B,MATCH($B137,GSC!$A:$A,0)),0))</f>
        <v/>
      </c>
      <c r="I137" s="8" t="str">
        <f>IF($B137="","",IFERROR(INDEX('GA4'!$B:$B,MATCH(SUBSTITUTE($B137,"https://www.lipid.co.uk",""),'GA4'!$A:$A,0)),0))</f>
        <v/>
      </c>
    </row>
    <row r="138" spans="6:9" x14ac:dyDescent="0.35">
      <c r="F138" s="8" t="str">
        <f t="shared" si="4"/>
        <v/>
      </c>
      <c r="H138" s="8" t="str">
        <f>IF($B138="","",IFERROR(INDEX(GSC!$B:$B,MATCH($B138,GSC!$A:$A,0)),0))</f>
        <v/>
      </c>
      <c r="I138" s="8" t="str">
        <f>IF($B138="","",IFERROR(INDEX('GA4'!$B:$B,MATCH(SUBSTITUTE($B138,"https://www.lipid.co.uk",""),'GA4'!$A:$A,0)),0))</f>
        <v/>
      </c>
    </row>
    <row r="139" spans="6:9" x14ac:dyDescent="0.35">
      <c r="F139" s="8" t="str">
        <f t="shared" si="4"/>
        <v/>
      </c>
      <c r="H139" s="8" t="str">
        <f>IF($B139="","",IFERROR(INDEX(GSC!$B:$B,MATCH($B139,GSC!$A:$A,0)),0))</f>
        <v/>
      </c>
      <c r="I139" s="8" t="str">
        <f>IF($B139="","",IFERROR(INDEX('GA4'!$B:$B,MATCH(SUBSTITUTE($B139,"https://www.lipid.co.uk",""),'GA4'!$A:$A,0)),0))</f>
        <v/>
      </c>
    </row>
    <row r="140" spans="6:9" x14ac:dyDescent="0.35">
      <c r="F140" s="8" t="str">
        <f t="shared" si="4"/>
        <v/>
      </c>
      <c r="H140" s="8" t="str">
        <f>IF($B140="","",IFERROR(INDEX(GSC!$B:$B,MATCH($B140,GSC!$A:$A,0)),0))</f>
        <v/>
      </c>
      <c r="I140" s="8" t="str">
        <f>IF($B140="","",IFERROR(INDEX('GA4'!$B:$B,MATCH(SUBSTITUTE($B140,"https://www.lipid.co.uk",""),'GA4'!$A:$A,0)),0))</f>
        <v/>
      </c>
    </row>
    <row r="141" spans="6:9" x14ac:dyDescent="0.35">
      <c r="F141" s="8" t="str">
        <f t="shared" si="4"/>
        <v/>
      </c>
      <c r="H141" s="8" t="str">
        <f>IF($B141="","",IFERROR(INDEX(GSC!$B:$B,MATCH($B141,GSC!$A:$A,0)),0))</f>
        <v/>
      </c>
      <c r="I141" s="8" t="str">
        <f>IF($B141="","",IFERROR(INDEX('GA4'!$B:$B,MATCH(SUBSTITUTE($B141,"https://www.lipid.co.uk",""),'GA4'!$A:$A,0)),0))</f>
        <v/>
      </c>
    </row>
    <row r="142" spans="6:9" x14ac:dyDescent="0.35">
      <c r="F142" s="8" t="str">
        <f t="shared" si="4"/>
        <v/>
      </c>
      <c r="H142" s="8" t="str">
        <f>IF($B142="","",IFERROR(INDEX(GSC!$B:$B,MATCH($B142,GSC!$A:$A,0)),0))</f>
        <v/>
      </c>
      <c r="I142" s="8" t="str">
        <f>IF($B142="","",IFERROR(INDEX('GA4'!$B:$B,MATCH(SUBSTITUTE($B142,"https://www.lipid.co.uk",""),'GA4'!$A:$A,0)),0))</f>
        <v/>
      </c>
    </row>
    <row r="143" spans="6:9" x14ac:dyDescent="0.35">
      <c r="F143" s="8" t="str">
        <f t="shared" si="4"/>
        <v/>
      </c>
      <c r="H143" s="8" t="str">
        <f>IF($B143="","",IFERROR(INDEX(GSC!$B:$B,MATCH($B143,GSC!$A:$A,0)),0))</f>
        <v/>
      </c>
      <c r="I143" s="8" t="str">
        <f>IF($B143="","",IFERROR(INDEX('GA4'!$B:$B,MATCH(SUBSTITUTE($B143,"https://www.lipid.co.uk",""),'GA4'!$A:$A,0)),0))</f>
        <v/>
      </c>
    </row>
    <row r="144" spans="6:9" x14ac:dyDescent="0.35">
      <c r="F144" s="8" t="str">
        <f t="shared" si="4"/>
        <v/>
      </c>
      <c r="H144" s="8" t="str">
        <f>IF($B144="","",IFERROR(INDEX(GSC!$B:$B,MATCH($B144,GSC!$A:$A,0)),0))</f>
        <v/>
      </c>
      <c r="I144" s="8" t="str">
        <f>IF($B144="","",IFERROR(INDEX('GA4'!$B:$B,MATCH(SUBSTITUTE($B144,"https://www.lipid.co.uk",""),'GA4'!$A:$A,0)),0))</f>
        <v/>
      </c>
    </row>
    <row r="145" spans="6:9" x14ac:dyDescent="0.35">
      <c r="F145" s="8" t="str">
        <f t="shared" si="4"/>
        <v/>
      </c>
      <c r="H145" s="8" t="str">
        <f>IF($B145="","",IFERROR(INDEX(GSC!$B:$B,MATCH($B145,GSC!$A:$A,0)),0))</f>
        <v/>
      </c>
      <c r="I145" s="8" t="str">
        <f>IF($B145="","",IFERROR(INDEX('GA4'!$B:$B,MATCH(SUBSTITUTE($B145,"https://www.lipid.co.uk",""),'GA4'!$A:$A,0)),0))</f>
        <v/>
      </c>
    </row>
    <row r="146" spans="6:9" x14ac:dyDescent="0.35">
      <c r="F146" s="8" t="str">
        <f t="shared" si="4"/>
        <v/>
      </c>
      <c r="H146" s="8" t="str">
        <f>IF($B146="","",IFERROR(INDEX(GSC!$B:$B,MATCH($B146,GSC!$A:$A,0)),0))</f>
        <v/>
      </c>
      <c r="I146" s="8" t="str">
        <f>IF($B146="","",IFERROR(INDEX('GA4'!$B:$B,MATCH(SUBSTITUTE($B146,"https://www.lipid.co.uk",""),'GA4'!$A:$A,0)),0))</f>
        <v/>
      </c>
    </row>
    <row r="147" spans="6:9" x14ac:dyDescent="0.35">
      <c r="F147" s="8" t="str">
        <f t="shared" si="4"/>
        <v/>
      </c>
      <c r="H147" s="8" t="str">
        <f>IF($B147="","",IFERROR(INDEX(GSC!$B:$B,MATCH($B147,GSC!$A:$A,0)),0))</f>
        <v/>
      </c>
      <c r="I147" s="8" t="str">
        <f>IF($B147="","",IFERROR(INDEX('GA4'!$B:$B,MATCH(SUBSTITUTE($B147,"https://www.lipid.co.uk",""),'GA4'!$A:$A,0)),0))</f>
        <v/>
      </c>
    </row>
    <row r="148" spans="6:9" x14ac:dyDescent="0.35">
      <c r="F148" s="8" t="str">
        <f t="shared" si="4"/>
        <v/>
      </c>
      <c r="H148" s="8" t="str">
        <f>IF($B148="","",IFERROR(INDEX(GSC!$B:$B,MATCH($B148,GSC!$A:$A,0)),0))</f>
        <v/>
      </c>
      <c r="I148" s="8" t="str">
        <f>IF($B148="","",IFERROR(INDEX('GA4'!$B:$B,MATCH(SUBSTITUTE($B148,"https://www.lipid.co.uk",""),'GA4'!$A:$A,0)),0))</f>
        <v/>
      </c>
    </row>
    <row r="149" spans="6:9" x14ac:dyDescent="0.35">
      <c r="F149" s="8" t="str">
        <f t="shared" si="4"/>
        <v/>
      </c>
      <c r="H149" s="8" t="str">
        <f>IF($B149="","",IFERROR(INDEX(GSC!$B:$B,MATCH($B149,GSC!$A:$A,0)),0))</f>
        <v/>
      </c>
      <c r="I149" s="8" t="str">
        <f>IF($B149="","",IFERROR(INDEX('GA4'!$B:$B,MATCH(SUBSTITUTE($B149,"https://www.lipid.co.uk",""),'GA4'!$A:$A,0)),0))</f>
        <v/>
      </c>
    </row>
    <row r="150" spans="6:9" x14ac:dyDescent="0.35">
      <c r="F150" s="8" t="str">
        <f t="shared" si="4"/>
        <v/>
      </c>
      <c r="H150" s="8" t="str">
        <f>IF($B150="","",IFERROR(INDEX(GSC!$B:$B,MATCH($B150,GSC!$A:$A,0)),0))</f>
        <v/>
      </c>
      <c r="I150" s="8" t="str">
        <f>IF($B150="","",IFERROR(INDEX('GA4'!$B:$B,MATCH(SUBSTITUTE($B150,"https://www.lipid.co.uk",""),'GA4'!$A:$A,0)),0))</f>
        <v/>
      </c>
    </row>
  </sheetData>
  <autoFilter ref="A1:N150" xr:uid="{00000000-0009-0000-0000-000000000000}"/>
  <conditionalFormatting sqref="F2:F150">
    <cfRule type="cellIs" dxfId="10" priority="2" operator="equal">
      <formula>"Migrate as is"</formula>
    </cfRule>
    <cfRule type="cellIs" dxfId="9" priority="3" operator="equal">
      <formula>"Rewrite"</formula>
    </cfRule>
    <cfRule type="cellIs" dxfId="8" priority="4" operator="equal">
      <formula>"Merge"</formula>
    </cfRule>
    <cfRule type="cellIs" dxfId="7" priority="5" operator="equal">
      <formula>"Retire"</formula>
    </cfRule>
    <cfRule type="cellIs" dxfId="6" priority="6" operator="equal">
      <formula>"Review"</formula>
    </cfRule>
  </conditionalFormatting>
  <conditionalFormatting sqref="L2:L150">
    <cfRule type="cellIs" dxfId="5" priority="12" operator="equal">
      <formula>"Yes"</formula>
    </cfRule>
  </conditionalFormatting>
  <conditionalFormatting sqref="M2:M150">
    <cfRule type="cellIs" dxfId="4" priority="7" operator="equal">
      <formula>"Live"</formula>
    </cfRule>
    <cfRule type="cellIs" dxfId="3" priority="8" operator="equal">
      <formula>"Approved"</formula>
    </cfRule>
    <cfRule type="cellIs" dxfId="2" priority="9" operator="equal">
      <formula>"In review"</formula>
    </cfRule>
    <cfRule type="cellIs" dxfId="1" priority="10" operator="equal">
      <formula>"In progress"</formula>
    </cfRule>
  </conditionalFormatting>
  <conditionalFormatting sqref="N2:N150">
    <cfRule type="cellIs" dxfId="0" priority="11" operator="equal">
      <formula>"Yes"</formula>
    </cfRule>
  </conditionalFormatting>
  <dataValidations count="4">
    <dataValidation type="list" allowBlank="1" showErrorMessage="1" sqref="D2:E150" xr:uid="{00000000-0002-0000-0000-000000000000}">
      <formula1>"Migrate as is,Rewrite,Merge,Retire,Review"</formula1>
      <formula2>0</formula2>
    </dataValidation>
    <dataValidation type="list" allowBlank="1" showErrorMessage="1" sqref="L2:L150" xr:uid="{00000000-0002-0000-0000-000002000000}">
      <formula1>"Yes,No,Not needed"</formula1>
      <formula2>0</formula2>
    </dataValidation>
    <dataValidation type="list" allowBlank="1" showErrorMessage="1" sqref="M2:M150" xr:uid="{00000000-0002-0000-0000-000003000000}">
      <formula1>"Not started,In progress,In review,Approved,Live"</formula1>
      <formula2>0</formula2>
    </dataValidation>
    <dataValidation type="list" allowBlank="1" showErrorMessage="1" sqref="N2:N150" xr:uid="{00000000-0002-0000-0000-000004000000}">
      <formula1>"Yes,No"</formula1>
      <formula2>0</formula2>
    </dataValidation>
  </dataValidations>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9" r:id="rId22" xr:uid="{00000000-0004-0000-0000-000015000000}"/>
    <hyperlink ref="B30" r:id="rId23" xr:uid="{00000000-0004-0000-0000-000016000000}"/>
    <hyperlink ref="B31" r:id="rId24" xr:uid="{00000000-0004-0000-0000-000017000000}"/>
    <hyperlink ref="B32" r:id="rId25" xr:uid="{00000000-0004-0000-0000-000018000000}"/>
    <hyperlink ref="B33" r:id="rId26" xr:uid="{00000000-0004-0000-0000-000019000000}"/>
    <hyperlink ref="B34" r:id="rId27" xr:uid="{00000000-0004-0000-0000-00001A000000}"/>
    <hyperlink ref="B35" r:id="rId28" xr:uid="{00000000-0004-0000-0000-00001B000000}"/>
    <hyperlink ref="B36" r:id="rId29" xr:uid="{00000000-0004-0000-0000-00001C000000}"/>
    <hyperlink ref="B37" r:id="rId30" xr:uid="{00000000-0004-0000-0000-00001D000000}"/>
    <hyperlink ref="B38" r:id="rId31" xr:uid="{00000000-0004-0000-0000-00001E000000}"/>
    <hyperlink ref="B39" r:id="rId32" xr:uid="{00000000-0004-0000-0000-00001F000000}"/>
    <hyperlink ref="B40" r:id="rId33" xr:uid="{00000000-0004-0000-0000-000020000000}"/>
    <hyperlink ref="B41" r:id="rId34" xr:uid="{00000000-0004-0000-0000-000021000000}"/>
    <hyperlink ref="B42" r:id="rId35" xr:uid="{00000000-0004-0000-0000-000022000000}"/>
    <hyperlink ref="B43" r:id="rId36" xr:uid="{00000000-0004-0000-0000-000023000000}"/>
    <hyperlink ref="B44" r:id="rId37" xr:uid="{00000000-0004-0000-0000-000024000000}"/>
    <hyperlink ref="B45" r:id="rId38" xr:uid="{00000000-0004-0000-0000-000025000000}"/>
    <hyperlink ref="B46" r:id="rId39" xr:uid="{00000000-0004-0000-0000-000026000000}"/>
    <hyperlink ref="B47" r:id="rId40" xr:uid="{00000000-0004-0000-0000-000027000000}"/>
    <hyperlink ref="B48" r:id="rId41" xr:uid="{00000000-0004-0000-0000-000028000000}"/>
    <hyperlink ref="B49" r:id="rId42" xr:uid="{00000000-0004-0000-0000-000029000000}"/>
    <hyperlink ref="B50" r:id="rId43" xr:uid="{00000000-0004-0000-0000-00002A000000}"/>
    <hyperlink ref="B51" r:id="rId44" xr:uid="{00000000-0004-0000-0000-00002B000000}"/>
    <hyperlink ref="B52" r:id="rId45" xr:uid="{00000000-0004-0000-0000-00002C000000}"/>
    <hyperlink ref="B53" r:id="rId46" xr:uid="{00000000-0004-0000-0000-00002D000000}"/>
    <hyperlink ref="B54" r:id="rId47" xr:uid="{00000000-0004-0000-0000-00002E000000}"/>
    <hyperlink ref="B55" r:id="rId48" xr:uid="{00000000-0004-0000-0000-00002F000000}"/>
    <hyperlink ref="B56" r:id="rId49" xr:uid="{00000000-0004-0000-0000-000030000000}"/>
    <hyperlink ref="B57" r:id="rId50" xr:uid="{00000000-0004-0000-0000-000031000000}"/>
    <hyperlink ref="B58" r:id="rId51" xr:uid="{00000000-0004-0000-0000-000032000000}"/>
    <hyperlink ref="B59" r:id="rId52" xr:uid="{00000000-0004-0000-0000-000033000000}"/>
    <hyperlink ref="B60" r:id="rId53" xr:uid="{00000000-0004-0000-0000-000034000000}"/>
    <hyperlink ref="B61" r:id="rId54" xr:uid="{00000000-0004-0000-0000-000035000000}"/>
    <hyperlink ref="B62" r:id="rId55" xr:uid="{00000000-0004-0000-0000-000036000000}"/>
    <hyperlink ref="B63" r:id="rId56" xr:uid="{00000000-0004-0000-0000-000037000000}"/>
    <hyperlink ref="B64" r:id="rId57" xr:uid="{00000000-0004-0000-0000-000038000000}"/>
    <hyperlink ref="B65" r:id="rId58" xr:uid="{00000000-0004-0000-0000-000039000000}"/>
    <hyperlink ref="B66" r:id="rId59" xr:uid="{00000000-0004-0000-0000-00003A000000}"/>
    <hyperlink ref="B67" r:id="rId60" xr:uid="{00000000-0004-0000-0000-00003B000000}"/>
    <hyperlink ref="B68" r:id="rId61" xr:uid="{00000000-0004-0000-0000-00003C000000}"/>
    <hyperlink ref="B69" r:id="rId62" xr:uid="{00000000-0004-0000-0000-00003D000000}"/>
    <hyperlink ref="B70" r:id="rId63" xr:uid="{00000000-0004-0000-0000-00003E000000}"/>
    <hyperlink ref="B71" r:id="rId64" xr:uid="{00000000-0004-0000-0000-00003F000000}"/>
    <hyperlink ref="B72" r:id="rId65" xr:uid="{00000000-0004-0000-0000-000040000000}"/>
    <hyperlink ref="B73" r:id="rId66" xr:uid="{00000000-0004-0000-0000-000041000000}"/>
    <hyperlink ref="B74" r:id="rId67" xr:uid="{00000000-0004-0000-0000-000042000000}"/>
    <hyperlink ref="B75" r:id="rId68" xr:uid="{00000000-0004-0000-0000-000043000000}"/>
    <hyperlink ref="B76" r:id="rId69" xr:uid="{00000000-0004-0000-0000-000044000000}"/>
    <hyperlink ref="B77" r:id="rId70" xr:uid="{00000000-0004-0000-0000-000045000000}"/>
    <hyperlink ref="B78" r:id="rId71" xr:uid="{00000000-0004-0000-0000-000046000000}"/>
    <hyperlink ref="B79" r:id="rId72" xr:uid="{00000000-0004-0000-0000-000047000000}"/>
    <hyperlink ref="B80" r:id="rId73" xr:uid="{00000000-0004-0000-0000-000048000000}"/>
    <hyperlink ref="B81" r:id="rId74" xr:uid="{00000000-0004-0000-0000-000049000000}"/>
    <hyperlink ref="B82" r:id="rId75" xr:uid="{00000000-0004-0000-0000-00004A000000}"/>
    <hyperlink ref="B83" r:id="rId76" xr:uid="{00000000-0004-0000-0000-00004B000000}"/>
    <hyperlink ref="B84" r:id="rId77" xr:uid="{00000000-0004-0000-0000-00004C000000}"/>
    <hyperlink ref="B85" r:id="rId78" xr:uid="{00000000-0004-0000-0000-00004D000000}"/>
    <hyperlink ref="B86" r:id="rId79" xr:uid="{00000000-0004-0000-0000-00004E000000}"/>
    <hyperlink ref="B87" r:id="rId80" xr:uid="{00000000-0004-0000-0000-00004F000000}"/>
    <hyperlink ref="B88" r:id="rId81" xr:uid="{00000000-0004-0000-0000-000050000000}"/>
    <hyperlink ref="B89" r:id="rId82" xr:uid="{00000000-0004-0000-0000-000051000000}"/>
    <hyperlink ref="B90" r:id="rId83" xr:uid="{00000000-0004-0000-0000-000052000000}"/>
    <hyperlink ref="B91" r:id="rId84" xr:uid="{00000000-0004-0000-0000-000053000000}"/>
    <hyperlink ref="B92" r:id="rId85" xr:uid="{00000000-0004-0000-0000-000054000000}"/>
    <hyperlink ref="B93" r:id="rId86" xr:uid="{00000000-0004-0000-0000-000055000000}"/>
    <hyperlink ref="B94" r:id="rId87" xr:uid="{00000000-0004-0000-0000-000056000000}"/>
    <hyperlink ref="B95" r:id="rId88" xr:uid="{00000000-0004-0000-0000-000057000000}"/>
    <hyperlink ref="B96" r:id="rId89" xr:uid="{00000000-0004-0000-0000-000058000000}"/>
    <hyperlink ref="B97" r:id="rId90" xr:uid="{00000000-0004-0000-0000-000059000000}"/>
    <hyperlink ref="B98" r:id="rId91" xr:uid="{00000000-0004-0000-0000-00005A000000}"/>
    <hyperlink ref="B99" r:id="rId92" xr:uid="{00000000-0004-0000-0000-00005B000000}"/>
    <hyperlink ref="B100" r:id="rId93" xr:uid="{00000000-0004-0000-0000-00005C000000}"/>
    <hyperlink ref="B101" r:id="rId94" xr:uid="{00000000-0004-0000-0000-00005D000000}"/>
    <hyperlink ref="B102" r:id="rId95" xr:uid="{00000000-0004-0000-0000-00005E000000}"/>
    <hyperlink ref="B103" r:id="rId96" xr:uid="{00000000-0004-0000-0000-00005F000000}"/>
    <hyperlink ref="B104" r:id="rId97" xr:uid="{00000000-0004-0000-0000-000060000000}"/>
    <hyperlink ref="B105" r:id="rId98" xr:uid="{00000000-0004-0000-0000-000061000000}"/>
    <hyperlink ref="B106" r:id="rId99" xr:uid="{00000000-0004-0000-0000-000062000000}"/>
    <hyperlink ref="B107" r:id="rId100" xr:uid="{00000000-0004-0000-0000-000063000000}"/>
    <hyperlink ref="B108" r:id="rId101" xr:uid="{00000000-0004-0000-0000-000064000000}"/>
    <hyperlink ref="B109" r:id="rId102" xr:uid="{00000000-0004-0000-0000-000065000000}"/>
    <hyperlink ref="B110" r:id="rId103" xr:uid="{00000000-0004-0000-0000-000066000000}"/>
    <hyperlink ref="B111" r:id="rId104" xr:uid="{00000000-0004-0000-0000-000067000000}"/>
    <hyperlink ref="B112" r:id="rId105" xr:uid="{00000000-0004-0000-0000-000068000000}"/>
    <hyperlink ref="B113" r:id="rId106" xr:uid="{00000000-0004-0000-0000-000069000000}"/>
    <hyperlink ref="B114" r:id="rId107" xr:uid="{00000000-0004-0000-0000-00006A000000}"/>
    <hyperlink ref="B115" r:id="rId108" xr:uid="{00000000-0004-0000-0000-00006B000000}"/>
    <hyperlink ref="B116" r:id="rId109" xr:uid="{00000000-0004-0000-0000-00006C000000}"/>
    <hyperlink ref="B117" r:id="rId110" xr:uid="{00000000-0004-0000-0000-00006D000000}"/>
    <hyperlink ref="B118" r:id="rId111" xr:uid="{00000000-0004-0000-0000-00006E000000}"/>
    <hyperlink ref="B119" r:id="rId112" xr:uid="{00000000-0004-0000-0000-00006F000000}"/>
    <hyperlink ref="B120" r:id="rId113" xr:uid="{00000000-0004-0000-0000-000070000000}"/>
    <hyperlink ref="B121" r:id="rId114" xr:uid="{00000000-0004-0000-0000-000071000000}"/>
    <hyperlink ref="B122" r:id="rId115" xr:uid="{00000000-0004-0000-0000-000072000000}"/>
    <hyperlink ref="B123" r:id="rId116" xr:uid="{00000000-0004-0000-0000-000073000000}"/>
    <hyperlink ref="B124" r:id="rId117" xr:uid="{00000000-0004-0000-0000-000074000000}"/>
    <hyperlink ref="B125" r:id="rId118" xr:uid="{00000000-0004-0000-0000-000075000000}"/>
    <hyperlink ref="B126" r:id="rId119" xr:uid="{00000000-0004-0000-0000-000076000000}"/>
    <hyperlink ref="B27" r:id="rId120" xr:uid="{5715492D-036D-42C8-A29E-41F315183F8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2"/>
  <sheetViews>
    <sheetView zoomScaleNormal="100" workbookViewId="0"/>
  </sheetViews>
  <sheetFormatPr defaultColWidth="8.6328125" defaultRowHeight="14.5" x14ac:dyDescent="0.35"/>
  <cols>
    <col min="1" max="1" width="30" customWidth="1"/>
    <col min="2" max="8" width="14" customWidth="1"/>
  </cols>
  <sheetData>
    <row r="1" spans="1:7" ht="18" x14ac:dyDescent="0.4">
      <c r="A1" s="9" t="s">
        <v>227</v>
      </c>
    </row>
    <row r="2" spans="1:7" x14ac:dyDescent="0.35">
      <c r="A2" s="10" t="s">
        <v>228</v>
      </c>
    </row>
    <row r="4" spans="1:7" x14ac:dyDescent="0.35">
      <c r="A4" s="11" t="s">
        <v>229</v>
      </c>
      <c r="B4" s="12">
        <f>COUNTA('Content Map'!$B$2:$B$150)</f>
        <v>125</v>
      </c>
    </row>
    <row r="5" spans="1:7" x14ac:dyDescent="0.35">
      <c r="A5" s="11" t="s">
        <v>230</v>
      </c>
      <c r="B5" s="12">
        <f>COUNTA('Content Map'!$E$2:$E$150)</f>
        <v>0</v>
      </c>
    </row>
    <row r="6" spans="1:7" x14ac:dyDescent="0.35">
      <c r="A6" s="13" t="s">
        <v>231</v>
      </c>
      <c r="B6" s="14">
        <f>IF(B4=0,0,B5/B4)</f>
        <v>0</v>
      </c>
    </row>
    <row r="8" spans="1:7" x14ac:dyDescent="0.35">
      <c r="A8" s="15" t="s">
        <v>5</v>
      </c>
      <c r="B8" s="16" t="s">
        <v>232</v>
      </c>
      <c r="C8" s="16" t="s">
        <v>233</v>
      </c>
    </row>
    <row r="9" spans="1:7" x14ac:dyDescent="0.35">
      <c r="A9" s="13" t="s">
        <v>58</v>
      </c>
      <c r="B9" s="17">
        <f>COUNTIF('Content Map'!$F$2:$F$150,A9)</f>
        <v>13</v>
      </c>
      <c r="C9" s="14">
        <f>IF($B$4=0,0,B9/$B$4)</f>
        <v>0.104</v>
      </c>
    </row>
    <row r="10" spans="1:7" x14ac:dyDescent="0.35">
      <c r="A10" s="13" t="s">
        <v>16</v>
      </c>
      <c r="B10" s="17">
        <f>COUNTIF('Content Map'!$F$2:$F$150,A10)</f>
        <v>36</v>
      </c>
      <c r="C10" s="14">
        <f>IF($B$4=0,0,B10/$B$4)</f>
        <v>0.28799999999999998</v>
      </c>
    </row>
    <row r="11" spans="1:7" x14ac:dyDescent="0.35">
      <c r="A11" s="13" t="s">
        <v>24</v>
      </c>
      <c r="B11" s="17">
        <f>COUNTIF('Content Map'!$F$2:$F$150,A11)</f>
        <v>10</v>
      </c>
      <c r="C11" s="14">
        <f>IF($B$4=0,0,B11/$B$4)</f>
        <v>0.08</v>
      </c>
    </row>
    <row r="12" spans="1:7" x14ac:dyDescent="0.35">
      <c r="A12" s="13" t="s">
        <v>67</v>
      </c>
      <c r="B12" s="17">
        <f>COUNTIF('Content Map'!$F$2:$F$150,A12)</f>
        <v>66</v>
      </c>
      <c r="C12" s="14">
        <f>IF($B$4=0,0,B12/$B$4)</f>
        <v>0.52800000000000002</v>
      </c>
    </row>
    <row r="13" spans="1:7" x14ac:dyDescent="0.35">
      <c r="A13" s="13" t="s">
        <v>35</v>
      </c>
      <c r="B13" s="17">
        <f>COUNTIF('Content Map'!$F$2:$F$150,A13)</f>
        <v>0</v>
      </c>
      <c r="C13" s="14">
        <f>IF($B$4=0,0,B13/$B$4)</f>
        <v>0</v>
      </c>
    </row>
    <row r="14" spans="1:7" x14ac:dyDescent="0.35">
      <c r="A14" s="11" t="s">
        <v>234</v>
      </c>
      <c r="B14" s="12">
        <f>SUM(B9:B13)</f>
        <v>125</v>
      </c>
      <c r="C14" s="18">
        <f>SUM(C9:C13)</f>
        <v>1</v>
      </c>
    </row>
    <row r="16" spans="1:7" x14ac:dyDescent="0.35">
      <c r="A16" s="15" t="s">
        <v>2</v>
      </c>
      <c r="B16" s="16" t="s">
        <v>58</v>
      </c>
      <c r="C16" s="16" t="s">
        <v>16</v>
      </c>
      <c r="D16" s="16" t="s">
        <v>24</v>
      </c>
      <c r="E16" s="16" t="s">
        <v>67</v>
      </c>
      <c r="F16" s="16" t="s">
        <v>35</v>
      </c>
      <c r="G16" s="16" t="s">
        <v>234</v>
      </c>
    </row>
    <row r="17" spans="1:7" x14ac:dyDescent="0.35">
      <c r="A17" s="13" t="s">
        <v>15</v>
      </c>
      <c r="B17" s="17">
        <f>COUNTIFS('Content Map'!$C$2:$C$150,$A17,'Content Map'!$F$2:$F$150,B$16)</f>
        <v>0</v>
      </c>
      <c r="C17" s="17">
        <f>COUNTIFS('Content Map'!$C$2:$C$150,$A17,'Content Map'!$F$2:$F$150,C$16)</f>
        <v>1</v>
      </c>
      <c r="D17" s="17">
        <f>COUNTIFS('Content Map'!$C$2:$C$150,$A17,'Content Map'!$F$2:$F$150,D$16)</f>
        <v>0</v>
      </c>
      <c r="E17" s="17">
        <f>COUNTIFS('Content Map'!$C$2:$C$150,$A17,'Content Map'!$F$2:$F$150,E$16)</f>
        <v>0</v>
      </c>
      <c r="F17" s="17">
        <f>COUNTIFS('Content Map'!$C$2:$C$150,$A17,'Content Map'!$F$2:$F$150,F$16)</f>
        <v>0</v>
      </c>
      <c r="G17" s="12">
        <f t="shared" ref="G17:G30" si="0">SUM(B17:F17)</f>
        <v>1</v>
      </c>
    </row>
    <row r="18" spans="1:7" x14ac:dyDescent="0.35">
      <c r="A18" s="13" t="s">
        <v>21</v>
      </c>
      <c r="B18" s="17">
        <f>COUNTIFS('Content Map'!$C$2:$C$150,$A18,'Content Map'!$F$2:$F$150,B$16)</f>
        <v>0</v>
      </c>
      <c r="C18" s="17">
        <f>COUNTIFS('Content Map'!$C$2:$C$150,$A18,'Content Map'!$F$2:$F$150,C$16)</f>
        <v>4</v>
      </c>
      <c r="D18" s="17">
        <f>COUNTIFS('Content Map'!$C$2:$C$150,$A18,'Content Map'!$F$2:$F$150,D$16)</f>
        <v>1</v>
      </c>
      <c r="E18" s="17">
        <f>COUNTIFS('Content Map'!$C$2:$C$150,$A18,'Content Map'!$F$2:$F$150,E$16)</f>
        <v>2</v>
      </c>
      <c r="F18" s="17">
        <f>COUNTIFS('Content Map'!$C$2:$C$150,$A18,'Content Map'!$F$2:$F$150,F$16)</f>
        <v>0</v>
      </c>
      <c r="G18" s="12">
        <f t="shared" si="0"/>
        <v>7</v>
      </c>
    </row>
    <row r="19" spans="1:7" x14ac:dyDescent="0.35">
      <c r="A19" s="13" t="s">
        <v>38</v>
      </c>
      <c r="B19" s="17">
        <f>COUNTIFS('Content Map'!$C$2:$C$150,$A19,'Content Map'!$F$2:$F$150,B$16)</f>
        <v>0</v>
      </c>
      <c r="C19" s="17">
        <f>COUNTIFS('Content Map'!$C$2:$C$150,$A19,'Content Map'!$F$2:$F$150,C$16)</f>
        <v>4</v>
      </c>
      <c r="D19" s="17">
        <f>COUNTIFS('Content Map'!$C$2:$C$150,$A19,'Content Map'!$F$2:$F$150,D$16)</f>
        <v>0</v>
      </c>
      <c r="E19" s="17">
        <f>COUNTIFS('Content Map'!$C$2:$C$150,$A19,'Content Map'!$F$2:$F$150,E$16)</f>
        <v>0</v>
      </c>
      <c r="F19" s="17">
        <f>COUNTIFS('Content Map'!$C$2:$C$150,$A19,'Content Map'!$F$2:$F$150,F$16)</f>
        <v>0</v>
      </c>
      <c r="G19" s="12">
        <f t="shared" si="0"/>
        <v>4</v>
      </c>
    </row>
    <row r="20" spans="1:7" x14ac:dyDescent="0.35">
      <c r="A20" s="13" t="s">
        <v>45</v>
      </c>
      <c r="B20" s="17">
        <f>COUNTIFS('Content Map'!$C$2:$C$150,$A20,'Content Map'!$F$2:$F$150,B$16)</f>
        <v>0</v>
      </c>
      <c r="C20" s="17">
        <f>COUNTIFS('Content Map'!$C$2:$C$150,$A20,'Content Map'!$F$2:$F$150,C$16)</f>
        <v>7</v>
      </c>
      <c r="D20" s="17">
        <f>COUNTIFS('Content Map'!$C$2:$C$150,$A20,'Content Map'!$F$2:$F$150,D$16)</f>
        <v>0</v>
      </c>
      <c r="E20" s="17">
        <f>COUNTIFS('Content Map'!$C$2:$C$150,$A20,'Content Map'!$F$2:$F$150,E$16)</f>
        <v>0</v>
      </c>
      <c r="F20" s="17">
        <f>COUNTIFS('Content Map'!$C$2:$C$150,$A20,'Content Map'!$F$2:$F$150,F$16)</f>
        <v>0</v>
      </c>
      <c r="G20" s="12">
        <f t="shared" si="0"/>
        <v>7</v>
      </c>
    </row>
    <row r="21" spans="1:7" x14ac:dyDescent="0.35">
      <c r="A21" s="13" t="s">
        <v>55</v>
      </c>
      <c r="B21" s="17">
        <f>COUNTIFS('Content Map'!$C$2:$C$150,$A21,'Content Map'!$F$2:$F$150,B$16)</f>
        <v>1</v>
      </c>
      <c r="C21" s="17">
        <f>COUNTIFS('Content Map'!$C$2:$C$150,$A21,'Content Map'!$F$2:$F$150,C$16)</f>
        <v>1</v>
      </c>
      <c r="D21" s="17">
        <f>COUNTIFS('Content Map'!$C$2:$C$150,$A21,'Content Map'!$F$2:$F$150,D$16)</f>
        <v>0</v>
      </c>
      <c r="E21" s="17">
        <f>COUNTIFS('Content Map'!$C$2:$C$150,$A21,'Content Map'!$F$2:$F$150,E$16)</f>
        <v>0</v>
      </c>
      <c r="F21" s="17">
        <f>COUNTIFS('Content Map'!$C$2:$C$150,$A21,'Content Map'!$F$2:$F$150,F$16)</f>
        <v>0</v>
      </c>
      <c r="G21" s="12">
        <f t="shared" si="0"/>
        <v>2</v>
      </c>
    </row>
    <row r="22" spans="1:7" x14ac:dyDescent="0.35">
      <c r="A22" s="13" t="s">
        <v>61</v>
      </c>
      <c r="B22" s="17">
        <f>COUNTIFS('Content Map'!$C$2:$C$150,$A22,'Content Map'!$F$2:$F$150,B$16)</f>
        <v>1</v>
      </c>
      <c r="C22" s="17">
        <f>COUNTIFS('Content Map'!$C$2:$C$150,$A22,'Content Map'!$F$2:$F$150,C$16)</f>
        <v>2</v>
      </c>
      <c r="D22" s="17">
        <f>COUNTIFS('Content Map'!$C$2:$C$150,$A22,'Content Map'!$F$2:$F$150,D$16)</f>
        <v>0</v>
      </c>
      <c r="E22" s="17">
        <f>COUNTIFS('Content Map'!$C$2:$C$150,$A22,'Content Map'!$F$2:$F$150,E$16)</f>
        <v>4</v>
      </c>
      <c r="F22" s="17">
        <f>COUNTIFS('Content Map'!$C$2:$C$150,$A22,'Content Map'!$F$2:$F$150,F$16)</f>
        <v>0</v>
      </c>
      <c r="G22" s="12">
        <f t="shared" si="0"/>
        <v>7</v>
      </c>
    </row>
    <row r="23" spans="1:7" x14ac:dyDescent="0.35">
      <c r="A23" s="13" t="s">
        <v>75</v>
      </c>
      <c r="B23" s="17">
        <f>COUNTIFS('Content Map'!$C$2:$C$150,$A23,'Content Map'!$F$2:$F$150,B$16)</f>
        <v>0</v>
      </c>
      <c r="C23" s="17">
        <f>COUNTIFS('Content Map'!$C$2:$C$150,$A23,'Content Map'!$F$2:$F$150,C$16)</f>
        <v>12</v>
      </c>
      <c r="D23" s="17">
        <f>COUNTIFS('Content Map'!$C$2:$C$150,$A23,'Content Map'!$F$2:$F$150,D$16)</f>
        <v>3</v>
      </c>
      <c r="E23" s="17">
        <f>COUNTIFS('Content Map'!$C$2:$C$150,$A23,'Content Map'!$F$2:$F$150,E$16)</f>
        <v>13</v>
      </c>
      <c r="F23" s="17">
        <f>COUNTIFS('Content Map'!$C$2:$C$150,$A23,'Content Map'!$F$2:$F$150,F$16)</f>
        <v>0</v>
      </c>
      <c r="G23" s="12">
        <f t="shared" si="0"/>
        <v>28</v>
      </c>
    </row>
    <row r="24" spans="1:7" x14ac:dyDescent="0.35">
      <c r="A24" s="13" t="s">
        <v>109</v>
      </c>
      <c r="B24" s="17">
        <f>COUNTIFS('Content Map'!$C$2:$C$150,$A24,'Content Map'!$F$2:$F$150,B$16)</f>
        <v>11</v>
      </c>
      <c r="C24" s="17">
        <f>COUNTIFS('Content Map'!$C$2:$C$150,$A24,'Content Map'!$F$2:$F$150,C$16)</f>
        <v>1</v>
      </c>
      <c r="D24" s="17">
        <f>COUNTIFS('Content Map'!$C$2:$C$150,$A24,'Content Map'!$F$2:$F$150,D$16)</f>
        <v>4</v>
      </c>
      <c r="E24" s="17">
        <f>COUNTIFS('Content Map'!$C$2:$C$150,$A24,'Content Map'!$F$2:$F$150,E$16)</f>
        <v>22</v>
      </c>
      <c r="F24" s="17">
        <f>COUNTIFS('Content Map'!$C$2:$C$150,$A24,'Content Map'!$F$2:$F$150,F$16)</f>
        <v>0</v>
      </c>
      <c r="G24" s="12">
        <f t="shared" si="0"/>
        <v>38</v>
      </c>
    </row>
    <row r="25" spans="1:7" x14ac:dyDescent="0.35">
      <c r="A25" s="13" t="s">
        <v>172</v>
      </c>
      <c r="B25" s="17">
        <f>COUNTIFS('Content Map'!$C$2:$C$150,$A25,'Content Map'!$F$2:$F$150,B$16)</f>
        <v>0</v>
      </c>
      <c r="C25" s="17">
        <f>COUNTIFS('Content Map'!$C$2:$C$150,$A25,'Content Map'!$F$2:$F$150,C$16)</f>
        <v>0</v>
      </c>
      <c r="D25" s="17">
        <f>COUNTIFS('Content Map'!$C$2:$C$150,$A25,'Content Map'!$F$2:$F$150,D$16)</f>
        <v>0</v>
      </c>
      <c r="E25" s="17">
        <f>COUNTIFS('Content Map'!$C$2:$C$150,$A25,'Content Map'!$F$2:$F$150,E$16)</f>
        <v>5</v>
      </c>
      <c r="F25" s="17">
        <f>COUNTIFS('Content Map'!$C$2:$C$150,$A25,'Content Map'!$F$2:$F$150,F$16)</f>
        <v>0</v>
      </c>
      <c r="G25" s="12">
        <f t="shared" si="0"/>
        <v>5</v>
      </c>
    </row>
    <row r="26" spans="1:7" x14ac:dyDescent="0.35">
      <c r="A26" s="13" t="s">
        <v>183</v>
      </c>
      <c r="B26" s="17">
        <f>COUNTIFS('Content Map'!$C$2:$C$150,$A26,'Content Map'!$F$2:$F$150,B$16)</f>
        <v>0</v>
      </c>
      <c r="C26" s="17">
        <f>COUNTIFS('Content Map'!$C$2:$C$150,$A26,'Content Map'!$F$2:$F$150,C$16)</f>
        <v>0</v>
      </c>
      <c r="D26" s="17">
        <f>COUNTIFS('Content Map'!$C$2:$C$150,$A26,'Content Map'!$F$2:$F$150,D$16)</f>
        <v>1</v>
      </c>
      <c r="E26" s="17">
        <f>COUNTIFS('Content Map'!$C$2:$C$150,$A26,'Content Map'!$F$2:$F$150,E$16)</f>
        <v>1</v>
      </c>
      <c r="F26" s="17">
        <f>COUNTIFS('Content Map'!$C$2:$C$150,$A26,'Content Map'!$F$2:$F$150,F$16)</f>
        <v>0</v>
      </c>
      <c r="G26" s="12">
        <f t="shared" si="0"/>
        <v>2</v>
      </c>
    </row>
    <row r="27" spans="1:7" x14ac:dyDescent="0.35">
      <c r="A27" s="13" t="s">
        <v>188</v>
      </c>
      <c r="B27" s="17">
        <f>COUNTIFS('Content Map'!$C$2:$C$150,$A27,'Content Map'!$F$2:$F$150,B$16)</f>
        <v>0</v>
      </c>
      <c r="C27" s="17">
        <f>COUNTIFS('Content Map'!$C$2:$C$150,$A27,'Content Map'!$F$2:$F$150,C$16)</f>
        <v>3</v>
      </c>
      <c r="D27" s="17">
        <f>COUNTIFS('Content Map'!$C$2:$C$150,$A27,'Content Map'!$F$2:$F$150,D$16)</f>
        <v>0</v>
      </c>
      <c r="E27" s="17">
        <f>COUNTIFS('Content Map'!$C$2:$C$150,$A27,'Content Map'!$F$2:$F$150,E$16)</f>
        <v>1</v>
      </c>
      <c r="F27" s="17">
        <f>COUNTIFS('Content Map'!$C$2:$C$150,$A27,'Content Map'!$F$2:$F$150,F$16)</f>
        <v>0</v>
      </c>
      <c r="G27" s="12">
        <f t="shared" si="0"/>
        <v>4</v>
      </c>
    </row>
    <row r="28" spans="1:7" x14ac:dyDescent="0.35">
      <c r="A28" s="13" t="s">
        <v>197</v>
      </c>
      <c r="B28" s="17">
        <f>COUNTIFS('Content Map'!$C$2:$C$150,$A28,'Content Map'!$F$2:$F$150,B$16)</f>
        <v>0</v>
      </c>
      <c r="C28" s="17">
        <f>COUNTIFS('Content Map'!$C$2:$C$150,$A28,'Content Map'!$F$2:$F$150,C$16)</f>
        <v>1</v>
      </c>
      <c r="D28" s="17">
        <f>COUNTIFS('Content Map'!$C$2:$C$150,$A28,'Content Map'!$F$2:$F$150,D$16)</f>
        <v>1</v>
      </c>
      <c r="E28" s="17">
        <f>COUNTIFS('Content Map'!$C$2:$C$150,$A28,'Content Map'!$F$2:$F$150,E$16)</f>
        <v>9</v>
      </c>
      <c r="F28" s="17">
        <f>COUNTIFS('Content Map'!$C$2:$C$150,$A28,'Content Map'!$F$2:$F$150,F$16)</f>
        <v>0</v>
      </c>
      <c r="G28" s="12">
        <f t="shared" si="0"/>
        <v>11</v>
      </c>
    </row>
    <row r="29" spans="1:7" x14ac:dyDescent="0.35">
      <c r="A29" s="13" t="s">
        <v>211</v>
      </c>
      <c r="B29" s="17">
        <f>COUNTIFS('Content Map'!$C$2:$C$150,$A29,'Content Map'!$F$2:$F$150,B$16)</f>
        <v>0</v>
      </c>
      <c r="C29" s="17">
        <f>COUNTIFS('Content Map'!$C$2:$C$150,$A29,'Content Map'!$F$2:$F$150,C$16)</f>
        <v>0</v>
      </c>
      <c r="D29" s="17">
        <f>COUNTIFS('Content Map'!$C$2:$C$150,$A29,'Content Map'!$F$2:$F$150,D$16)</f>
        <v>0</v>
      </c>
      <c r="E29" s="17">
        <f>COUNTIFS('Content Map'!$C$2:$C$150,$A29,'Content Map'!$F$2:$F$150,E$16)</f>
        <v>3</v>
      </c>
      <c r="F29" s="17">
        <f>COUNTIFS('Content Map'!$C$2:$C$150,$A29,'Content Map'!$F$2:$F$150,F$16)</f>
        <v>0</v>
      </c>
      <c r="G29" s="12">
        <f t="shared" si="0"/>
        <v>3</v>
      </c>
    </row>
    <row r="30" spans="1:7" x14ac:dyDescent="0.35">
      <c r="A30" s="13" t="s">
        <v>218</v>
      </c>
      <c r="B30" s="17">
        <f>COUNTIFS('Content Map'!$C$2:$C$150,$A30,'Content Map'!$F$2:$F$150,B$16)</f>
        <v>0</v>
      </c>
      <c r="C30" s="17">
        <f>COUNTIFS('Content Map'!$C$2:$C$150,$A30,'Content Map'!$F$2:$F$150,C$16)</f>
        <v>0</v>
      </c>
      <c r="D30" s="17">
        <f>COUNTIFS('Content Map'!$C$2:$C$150,$A30,'Content Map'!$F$2:$F$150,D$16)</f>
        <v>0</v>
      </c>
      <c r="E30" s="17">
        <f>COUNTIFS('Content Map'!$C$2:$C$150,$A30,'Content Map'!$F$2:$F$150,E$16)</f>
        <v>6</v>
      </c>
      <c r="F30" s="17">
        <f>COUNTIFS('Content Map'!$C$2:$C$150,$A30,'Content Map'!$F$2:$F$150,F$16)</f>
        <v>0</v>
      </c>
      <c r="G30" s="12">
        <f t="shared" si="0"/>
        <v>6</v>
      </c>
    </row>
    <row r="31" spans="1:7" x14ac:dyDescent="0.35">
      <c r="A31" s="11" t="s">
        <v>234</v>
      </c>
      <c r="B31" s="12">
        <f t="shared" ref="B31:G31" si="1">SUM(B17:B30)</f>
        <v>13</v>
      </c>
      <c r="C31" s="12">
        <f t="shared" si="1"/>
        <v>36</v>
      </c>
      <c r="D31" s="12">
        <f t="shared" si="1"/>
        <v>10</v>
      </c>
      <c r="E31" s="12">
        <f t="shared" si="1"/>
        <v>66</v>
      </c>
      <c r="F31" s="12">
        <f t="shared" si="1"/>
        <v>0</v>
      </c>
      <c r="G31" s="12">
        <f t="shared" si="1"/>
        <v>125</v>
      </c>
    </row>
    <row r="33" spans="1:4" x14ac:dyDescent="0.35">
      <c r="A33" s="15" t="s">
        <v>235</v>
      </c>
      <c r="B33" s="16" t="s">
        <v>232</v>
      </c>
      <c r="C33" s="16" t="s">
        <v>233</v>
      </c>
    </row>
    <row r="34" spans="1:4" x14ac:dyDescent="0.35">
      <c r="A34" s="13" t="s">
        <v>18</v>
      </c>
      <c r="B34" s="17">
        <f>COUNTIF('Content Map'!$M$2:$M$150,A34)</f>
        <v>125</v>
      </c>
      <c r="C34" s="14">
        <f>IF($B$4=0,0,B34/$B$4)</f>
        <v>1</v>
      </c>
    </row>
    <row r="35" spans="1:4" x14ac:dyDescent="0.35">
      <c r="A35" s="13" t="s">
        <v>236</v>
      </c>
      <c r="B35" s="17">
        <f>COUNTIF('Content Map'!$M$2:$M$150,A35)</f>
        <v>0</v>
      </c>
      <c r="C35" s="14">
        <f>IF($B$4=0,0,B35/$B$4)</f>
        <v>0</v>
      </c>
    </row>
    <row r="36" spans="1:4" x14ac:dyDescent="0.35">
      <c r="A36" s="13" t="s">
        <v>237</v>
      </c>
      <c r="B36" s="17">
        <f>COUNTIF('Content Map'!$M$2:$M$150,A36)</f>
        <v>0</v>
      </c>
      <c r="C36" s="14">
        <f>IF($B$4=0,0,B36/$B$4)</f>
        <v>0</v>
      </c>
    </row>
    <row r="37" spans="1:4" x14ac:dyDescent="0.35">
      <c r="A37" s="13" t="s">
        <v>238</v>
      </c>
      <c r="B37" s="17">
        <f>COUNTIF('Content Map'!$M$2:$M$150,A37)</f>
        <v>0</v>
      </c>
      <c r="C37" s="14">
        <f>IF($B$4=0,0,B37/$B$4)</f>
        <v>0</v>
      </c>
    </row>
    <row r="38" spans="1:4" x14ac:dyDescent="0.35">
      <c r="A38" s="13" t="s">
        <v>239</v>
      </c>
      <c r="B38" s="17">
        <f>COUNTIF('Content Map'!$M$2:$M$150,A38)</f>
        <v>0</v>
      </c>
      <c r="C38" s="14">
        <f>IF($B$4=0,0,B38/$B$4)</f>
        <v>0</v>
      </c>
    </row>
    <row r="40" spans="1:4" x14ac:dyDescent="0.35">
      <c r="A40" s="11" t="s">
        <v>240</v>
      </c>
      <c r="B40" s="12">
        <f>COUNTIF('Content Map'!$L$2:$L$150,"Yes")</f>
        <v>0</v>
      </c>
    </row>
    <row r="41" spans="1:4" x14ac:dyDescent="0.35">
      <c r="A41" s="11" t="s">
        <v>241</v>
      </c>
      <c r="B41" s="12">
        <f>COUNTIF('Content Map'!$N$2:$N$150,"Yes")</f>
        <v>0</v>
      </c>
    </row>
    <row r="42" spans="1:4" x14ac:dyDescent="0.35">
      <c r="A42" s="13" t="s">
        <v>242</v>
      </c>
      <c r="B42" s="14">
        <f>IF($B$4=0,0,B41/$B$4)</f>
        <v>0</v>
      </c>
    </row>
    <row r="43" spans="1:4" x14ac:dyDescent="0.35">
      <c r="A43" s="13" t="s">
        <v>243</v>
      </c>
      <c r="B43" s="17">
        <f>B13</f>
        <v>0</v>
      </c>
    </row>
    <row r="45" spans="1:4" x14ac:dyDescent="0.35">
      <c r="A45" s="15" t="s">
        <v>244</v>
      </c>
      <c r="B45" s="16" t="s">
        <v>232</v>
      </c>
      <c r="C45" s="16" t="s">
        <v>245</v>
      </c>
      <c r="D45" s="16" t="s">
        <v>246</v>
      </c>
    </row>
    <row r="46" spans="1:4" x14ac:dyDescent="0.35">
      <c r="A46" s="13" t="s">
        <v>58</v>
      </c>
      <c r="B46" s="17">
        <f>COUNTIF('Content Map'!$F$2:$F$150,A46)</f>
        <v>13</v>
      </c>
      <c r="C46" s="17">
        <f>SUMIFS('Content Map'!$H$2:$H$150,'Content Map'!$F$2:$F$150,A46)</f>
        <v>107</v>
      </c>
      <c r="D46" s="17">
        <f>SUMIFS('Content Map'!$I$2:$I$150,'Content Map'!$F$2:$F$150,A46)</f>
        <v>417</v>
      </c>
    </row>
    <row r="47" spans="1:4" x14ac:dyDescent="0.35">
      <c r="A47" s="13" t="s">
        <v>16</v>
      </c>
      <c r="B47" s="17">
        <f>COUNTIF('Content Map'!$F$2:$F$150,A47)</f>
        <v>36</v>
      </c>
      <c r="C47" s="17">
        <f>SUMIFS('Content Map'!$H$2:$H$150,'Content Map'!$F$2:$F$150,A47)</f>
        <v>357</v>
      </c>
      <c r="D47" s="17">
        <f>SUMIFS('Content Map'!$I$2:$I$150,'Content Map'!$F$2:$F$150,A47)</f>
        <v>5271</v>
      </c>
    </row>
    <row r="48" spans="1:4" x14ac:dyDescent="0.35">
      <c r="A48" s="13" t="s">
        <v>24</v>
      </c>
      <c r="B48" s="17">
        <f>COUNTIF('Content Map'!$F$2:$F$150,A48)</f>
        <v>10</v>
      </c>
      <c r="C48" s="17">
        <f>SUMIFS('Content Map'!$H$2:$H$150,'Content Map'!$F$2:$F$150,A48)</f>
        <v>151</v>
      </c>
      <c r="D48" s="17">
        <f>SUMIFS('Content Map'!$I$2:$I$150,'Content Map'!$F$2:$F$150,A48)</f>
        <v>338</v>
      </c>
    </row>
    <row r="49" spans="1:4" x14ac:dyDescent="0.35">
      <c r="A49" s="13" t="s">
        <v>67</v>
      </c>
      <c r="B49" s="17">
        <f>COUNTIF('Content Map'!$F$2:$F$150,A49)</f>
        <v>66</v>
      </c>
      <c r="C49" s="17">
        <f>SUMIFS('Content Map'!$H$2:$H$150,'Content Map'!$F$2:$F$150,A49)</f>
        <v>93</v>
      </c>
      <c r="D49" s="17">
        <f>SUMIFS('Content Map'!$I$2:$I$150,'Content Map'!$F$2:$F$150,A49)</f>
        <v>559</v>
      </c>
    </row>
    <row r="50" spans="1:4" x14ac:dyDescent="0.35">
      <c r="A50" s="13" t="s">
        <v>35</v>
      </c>
      <c r="B50" s="17">
        <f>COUNTIF('Content Map'!$F$2:$F$150,A50)</f>
        <v>0</v>
      </c>
      <c r="C50" s="17">
        <f>SUMIFS('Content Map'!$H$2:$H$150,'Content Map'!$F$2:$F$150,A50)</f>
        <v>0</v>
      </c>
      <c r="D50" s="17">
        <f>SUMIFS('Content Map'!$I$2:$I$150,'Content Map'!$F$2:$F$150,A50)</f>
        <v>0</v>
      </c>
    </row>
    <row r="51" spans="1:4" x14ac:dyDescent="0.35">
      <c r="A51" s="11" t="s">
        <v>234</v>
      </c>
      <c r="B51" s="12">
        <f>SUM(B46:B50)</f>
        <v>125</v>
      </c>
      <c r="C51" s="12">
        <f>SUM(C46:C50)</f>
        <v>708</v>
      </c>
      <c r="D51" s="12">
        <f>SUM(D46:D50)</f>
        <v>6585</v>
      </c>
    </row>
    <row r="52" spans="1:4" x14ac:dyDescent="0.35">
      <c r="A52" s="10" t="s">
        <v>247</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zoomScaleNormal="100" workbookViewId="0"/>
  </sheetViews>
  <sheetFormatPr defaultColWidth="8.6328125" defaultRowHeight="14.5" x14ac:dyDescent="0.35"/>
  <cols>
    <col min="1" max="1" width="24" customWidth="1"/>
    <col min="2" max="2" width="100" customWidth="1"/>
  </cols>
  <sheetData>
    <row r="1" spans="1:2" ht="18" x14ac:dyDescent="0.4">
      <c r="A1" s="9" t="s">
        <v>248</v>
      </c>
    </row>
    <row r="3" spans="1:2" ht="26" x14ac:dyDescent="0.35">
      <c r="A3" s="19" t="s">
        <v>249</v>
      </c>
      <c r="B3" s="5" t="s">
        <v>250</v>
      </c>
    </row>
    <row r="4" spans="1:2" ht="25" x14ac:dyDescent="0.35">
      <c r="A4" s="19" t="s">
        <v>251</v>
      </c>
      <c r="B4" s="5" t="s">
        <v>252</v>
      </c>
    </row>
    <row r="5" spans="1:2" ht="26" x14ac:dyDescent="0.35">
      <c r="A5" s="19" t="s">
        <v>253</v>
      </c>
      <c r="B5" s="5" t="s">
        <v>254</v>
      </c>
    </row>
    <row r="6" spans="1:2" ht="37.5" x14ac:dyDescent="0.35">
      <c r="A6" s="19" t="s">
        <v>255</v>
      </c>
      <c r="B6" s="5" t="s">
        <v>256</v>
      </c>
    </row>
    <row r="7" spans="1:2" ht="26" x14ac:dyDescent="0.35">
      <c r="A7" s="19" t="s">
        <v>257</v>
      </c>
      <c r="B7" s="5" t="s">
        <v>258</v>
      </c>
    </row>
    <row r="8" spans="1:2" ht="25" x14ac:dyDescent="0.35">
      <c r="A8" s="19" t="s">
        <v>259</v>
      </c>
      <c r="B8" s="5" t="s">
        <v>260</v>
      </c>
    </row>
    <row r="9" spans="1:2" x14ac:dyDescent="0.35">
      <c r="A9" s="19" t="s">
        <v>261</v>
      </c>
      <c r="B9" s="5" t="s">
        <v>262</v>
      </c>
    </row>
    <row r="10" spans="1:2" x14ac:dyDescent="0.35">
      <c r="A10" s="19" t="s">
        <v>58</v>
      </c>
      <c r="B10" s="5" t="s">
        <v>263</v>
      </c>
    </row>
    <row r="11" spans="1:2" x14ac:dyDescent="0.35">
      <c r="A11" s="19" t="s">
        <v>16</v>
      </c>
      <c r="B11" s="5" t="s">
        <v>264</v>
      </c>
    </row>
    <row r="12" spans="1:2" x14ac:dyDescent="0.35">
      <c r="A12" s="19" t="s">
        <v>24</v>
      </c>
      <c r="B12" s="5" t="s">
        <v>265</v>
      </c>
    </row>
    <row r="13" spans="1:2" x14ac:dyDescent="0.35">
      <c r="A13" s="19" t="s">
        <v>67</v>
      </c>
      <c r="B13" s="5" t="s">
        <v>266</v>
      </c>
    </row>
    <row r="14" spans="1:2" x14ac:dyDescent="0.35">
      <c r="A14" s="19" t="s">
        <v>35</v>
      </c>
      <c r="B14" s="5" t="s">
        <v>267</v>
      </c>
    </row>
    <row r="15" spans="1:2" ht="25" x14ac:dyDescent="0.35">
      <c r="A15" s="19" t="s">
        <v>268</v>
      </c>
      <c r="B15" s="5" t="s">
        <v>269</v>
      </c>
    </row>
    <row r="16" spans="1:2" ht="37.5" x14ac:dyDescent="0.35">
      <c r="A16" s="19" t="s">
        <v>270</v>
      </c>
      <c r="B16" s="5" t="s">
        <v>271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7"/>
  <sheetViews>
    <sheetView zoomScaleNormal="100" workbookViewId="0">
      <pane ySplit="1" topLeftCell="A2" activePane="bottomLeft" state="frozen"/>
      <selection pane="bottomLeft"/>
    </sheetView>
  </sheetViews>
  <sheetFormatPr defaultColWidth="8.6328125" defaultRowHeight="14.5" x14ac:dyDescent="0.35"/>
  <cols>
    <col min="1" max="1" width="90" customWidth="1"/>
    <col min="2" max="2" width="14" customWidth="1"/>
    <col min="3" max="3" width="18" customWidth="1"/>
  </cols>
  <sheetData>
    <row r="1" spans="1:3" x14ac:dyDescent="0.35">
      <c r="A1" s="20" t="s">
        <v>272</v>
      </c>
      <c r="B1" s="20" t="s">
        <v>273</v>
      </c>
      <c r="C1" s="20" t="s">
        <v>274</v>
      </c>
    </row>
    <row r="2" spans="1:3" x14ac:dyDescent="0.35">
      <c r="A2" s="8" t="s">
        <v>14</v>
      </c>
      <c r="B2" s="8">
        <v>257</v>
      </c>
      <c r="C2" s="8">
        <v>5153</v>
      </c>
    </row>
    <row r="3" spans="1:3" x14ac:dyDescent="0.35">
      <c r="A3" s="8" t="s">
        <v>77</v>
      </c>
      <c r="B3" s="8">
        <v>72</v>
      </c>
      <c r="C3" s="8">
        <v>1615</v>
      </c>
    </row>
    <row r="4" spans="1:3" x14ac:dyDescent="0.35">
      <c r="A4" s="8" t="s">
        <v>20</v>
      </c>
      <c r="B4" s="8">
        <v>43</v>
      </c>
      <c r="C4" s="8">
        <v>1670</v>
      </c>
    </row>
    <row r="5" spans="1:3" x14ac:dyDescent="0.35">
      <c r="A5" s="8" t="s">
        <v>74</v>
      </c>
      <c r="B5" s="8">
        <v>39</v>
      </c>
      <c r="C5" s="8">
        <v>1580</v>
      </c>
    </row>
    <row r="6" spans="1:3" x14ac:dyDescent="0.35">
      <c r="A6" s="8" t="s">
        <v>120</v>
      </c>
      <c r="B6" s="8">
        <v>37</v>
      </c>
      <c r="C6" s="8">
        <v>17824</v>
      </c>
    </row>
    <row r="7" spans="1:3" x14ac:dyDescent="0.35">
      <c r="A7" s="8" t="s">
        <v>149</v>
      </c>
      <c r="B7" s="8">
        <v>23</v>
      </c>
      <c r="C7" s="8">
        <v>8382</v>
      </c>
    </row>
    <row r="8" spans="1:3" x14ac:dyDescent="0.35">
      <c r="A8" s="8" t="s">
        <v>180</v>
      </c>
      <c r="B8" s="8">
        <v>23</v>
      </c>
      <c r="C8" s="8">
        <v>417</v>
      </c>
    </row>
    <row r="9" spans="1:3" x14ac:dyDescent="0.35">
      <c r="A9" s="8" t="s">
        <v>81</v>
      </c>
      <c r="B9" s="8">
        <v>20</v>
      </c>
      <c r="C9" s="8">
        <v>447</v>
      </c>
    </row>
    <row r="10" spans="1:3" x14ac:dyDescent="0.35">
      <c r="A10" s="8" t="s">
        <v>70</v>
      </c>
      <c r="B10" s="8">
        <v>17</v>
      </c>
      <c r="C10" s="8">
        <v>1439</v>
      </c>
    </row>
    <row r="11" spans="1:3" x14ac:dyDescent="0.35">
      <c r="A11" s="8" t="s">
        <v>40</v>
      </c>
      <c r="B11" s="8">
        <v>16</v>
      </c>
      <c r="C11" s="8">
        <v>1388</v>
      </c>
    </row>
    <row r="12" spans="1:3" x14ac:dyDescent="0.35">
      <c r="A12" s="8" t="s">
        <v>151</v>
      </c>
      <c r="B12" s="8">
        <v>13</v>
      </c>
      <c r="C12" s="8">
        <v>460</v>
      </c>
    </row>
    <row r="13" spans="1:3" x14ac:dyDescent="0.35">
      <c r="A13" s="8" t="s">
        <v>147</v>
      </c>
      <c r="B13" s="8">
        <v>11</v>
      </c>
      <c r="C13" s="8">
        <v>3574</v>
      </c>
    </row>
    <row r="14" spans="1:3" x14ac:dyDescent="0.35">
      <c r="A14" s="8" t="s">
        <v>187</v>
      </c>
      <c r="B14" s="8">
        <v>11</v>
      </c>
      <c r="C14" s="8">
        <v>1280</v>
      </c>
    </row>
    <row r="15" spans="1:3" x14ac:dyDescent="0.35">
      <c r="A15" s="8" t="s">
        <v>126</v>
      </c>
      <c r="B15" s="8">
        <v>9</v>
      </c>
      <c r="C15" s="8">
        <v>7397</v>
      </c>
    </row>
    <row r="16" spans="1:3" x14ac:dyDescent="0.35">
      <c r="A16" s="8" t="s">
        <v>23</v>
      </c>
      <c r="B16" s="8">
        <v>7</v>
      </c>
      <c r="C16" s="8">
        <v>1508</v>
      </c>
    </row>
    <row r="17" spans="1:3" x14ac:dyDescent="0.35">
      <c r="A17" s="8" t="s">
        <v>138</v>
      </c>
      <c r="B17" s="8">
        <v>7</v>
      </c>
      <c r="C17" s="8">
        <v>1281</v>
      </c>
    </row>
    <row r="18" spans="1:3" x14ac:dyDescent="0.35">
      <c r="A18" s="8" t="s">
        <v>94</v>
      </c>
      <c r="B18" s="8">
        <v>6</v>
      </c>
      <c r="C18" s="8">
        <v>141</v>
      </c>
    </row>
    <row r="19" spans="1:3" x14ac:dyDescent="0.35">
      <c r="A19" s="8" t="s">
        <v>141</v>
      </c>
      <c r="B19" s="8">
        <v>6</v>
      </c>
      <c r="C19" s="8">
        <v>121</v>
      </c>
    </row>
    <row r="20" spans="1:3" x14ac:dyDescent="0.35">
      <c r="A20" s="8" t="s">
        <v>155</v>
      </c>
      <c r="B20" s="8">
        <v>5</v>
      </c>
      <c r="C20" s="8">
        <v>1758</v>
      </c>
    </row>
    <row r="21" spans="1:3" x14ac:dyDescent="0.35">
      <c r="A21" s="8" t="s">
        <v>72</v>
      </c>
      <c r="B21" s="8">
        <v>5</v>
      </c>
      <c r="C21" s="8">
        <v>982</v>
      </c>
    </row>
    <row r="22" spans="1:3" x14ac:dyDescent="0.35">
      <c r="A22" s="8" t="s">
        <v>133</v>
      </c>
      <c r="B22" s="8">
        <v>5</v>
      </c>
      <c r="C22" s="8">
        <v>482</v>
      </c>
    </row>
    <row r="23" spans="1:3" x14ac:dyDescent="0.35">
      <c r="A23" s="8" t="s">
        <v>79</v>
      </c>
      <c r="B23" s="8">
        <v>5</v>
      </c>
      <c r="C23" s="8">
        <v>144</v>
      </c>
    </row>
    <row r="24" spans="1:3" x14ac:dyDescent="0.35">
      <c r="A24" s="8" t="s">
        <v>162</v>
      </c>
      <c r="B24" s="8">
        <v>5</v>
      </c>
      <c r="C24" s="8">
        <v>96</v>
      </c>
    </row>
    <row r="25" spans="1:3" x14ac:dyDescent="0.35">
      <c r="A25" s="8" t="s">
        <v>37</v>
      </c>
      <c r="B25" s="8">
        <v>4</v>
      </c>
      <c r="C25" s="8">
        <v>957</v>
      </c>
    </row>
    <row r="26" spans="1:3" x14ac:dyDescent="0.35">
      <c r="A26" s="8" t="s">
        <v>144</v>
      </c>
      <c r="B26" s="8">
        <v>4</v>
      </c>
      <c r="C26" s="8">
        <v>716</v>
      </c>
    </row>
    <row r="27" spans="1:3" x14ac:dyDescent="0.35">
      <c r="A27" s="8" t="s">
        <v>32</v>
      </c>
      <c r="B27" s="8">
        <v>4</v>
      </c>
      <c r="C27" s="8">
        <v>463</v>
      </c>
    </row>
    <row r="28" spans="1:3" x14ac:dyDescent="0.35">
      <c r="A28" s="8" t="s">
        <v>52</v>
      </c>
      <c r="B28" s="8">
        <v>4</v>
      </c>
      <c r="C28" s="8">
        <v>361</v>
      </c>
    </row>
    <row r="29" spans="1:3" x14ac:dyDescent="0.35">
      <c r="A29" s="8" t="s">
        <v>158</v>
      </c>
      <c r="B29" s="8">
        <v>4</v>
      </c>
      <c r="C29" s="8">
        <v>237</v>
      </c>
    </row>
    <row r="30" spans="1:3" x14ac:dyDescent="0.35">
      <c r="A30" s="8" t="s">
        <v>115</v>
      </c>
      <c r="B30" s="8">
        <v>4</v>
      </c>
      <c r="C30" s="8">
        <v>62</v>
      </c>
    </row>
    <row r="31" spans="1:3" x14ac:dyDescent="0.35">
      <c r="A31" s="8" t="s">
        <v>83</v>
      </c>
      <c r="B31" s="8">
        <v>4</v>
      </c>
      <c r="C31" s="8">
        <v>28</v>
      </c>
    </row>
    <row r="32" spans="1:3" x14ac:dyDescent="0.35">
      <c r="A32" s="8" t="s">
        <v>57</v>
      </c>
      <c r="B32" s="8">
        <v>3</v>
      </c>
      <c r="C32" s="8">
        <v>3942</v>
      </c>
    </row>
    <row r="33" spans="1:3" x14ac:dyDescent="0.35">
      <c r="A33" s="8" t="s">
        <v>49</v>
      </c>
      <c r="B33" s="8">
        <v>3</v>
      </c>
      <c r="C33" s="8">
        <v>196</v>
      </c>
    </row>
    <row r="34" spans="1:3" x14ac:dyDescent="0.35">
      <c r="A34" s="8" t="s">
        <v>135</v>
      </c>
      <c r="B34" s="8">
        <v>3</v>
      </c>
      <c r="C34" s="8">
        <v>128</v>
      </c>
    </row>
    <row r="35" spans="1:3" x14ac:dyDescent="0.35">
      <c r="A35" s="8" t="s">
        <v>42</v>
      </c>
      <c r="B35" s="8">
        <v>2</v>
      </c>
      <c r="C35" s="8">
        <v>2478</v>
      </c>
    </row>
    <row r="36" spans="1:3" x14ac:dyDescent="0.35">
      <c r="A36" s="8" t="s">
        <v>111</v>
      </c>
      <c r="B36" s="8">
        <v>2</v>
      </c>
      <c r="C36" s="8">
        <v>302</v>
      </c>
    </row>
    <row r="37" spans="1:3" x14ac:dyDescent="0.35">
      <c r="A37" s="8" t="s">
        <v>41</v>
      </c>
      <c r="B37" s="8">
        <v>2</v>
      </c>
      <c r="C37" s="8">
        <v>201</v>
      </c>
    </row>
    <row r="38" spans="1:3" x14ac:dyDescent="0.35">
      <c r="A38" s="8" t="s">
        <v>47</v>
      </c>
      <c r="B38" s="8">
        <v>2</v>
      </c>
      <c r="C38" s="8">
        <v>160</v>
      </c>
    </row>
    <row r="39" spans="1:3" x14ac:dyDescent="0.35">
      <c r="A39" s="8" t="s">
        <v>169</v>
      </c>
      <c r="B39" s="8">
        <v>2</v>
      </c>
      <c r="C39" s="8">
        <v>49</v>
      </c>
    </row>
    <row r="40" spans="1:3" x14ac:dyDescent="0.35">
      <c r="A40" s="8" t="s">
        <v>113</v>
      </c>
      <c r="B40" s="8">
        <v>2</v>
      </c>
      <c r="C40" s="8">
        <v>27</v>
      </c>
    </row>
    <row r="41" spans="1:3" x14ac:dyDescent="0.35">
      <c r="A41" s="8" t="s">
        <v>156</v>
      </c>
      <c r="B41" s="8">
        <v>1</v>
      </c>
      <c r="C41" s="8">
        <v>3022</v>
      </c>
    </row>
    <row r="42" spans="1:3" x14ac:dyDescent="0.35">
      <c r="A42" s="8" t="s">
        <v>44</v>
      </c>
      <c r="B42" s="8">
        <v>1</v>
      </c>
      <c r="C42" s="8">
        <v>444</v>
      </c>
    </row>
    <row r="43" spans="1:3" x14ac:dyDescent="0.35">
      <c r="A43" s="8" t="s">
        <v>165</v>
      </c>
      <c r="B43" s="8">
        <v>1</v>
      </c>
      <c r="C43" s="8">
        <v>301</v>
      </c>
    </row>
    <row r="44" spans="1:3" x14ac:dyDescent="0.35">
      <c r="A44" s="8" t="s">
        <v>26</v>
      </c>
      <c r="B44" s="8">
        <v>1</v>
      </c>
      <c r="C44" s="8">
        <v>287</v>
      </c>
    </row>
    <row r="45" spans="1:3" x14ac:dyDescent="0.35">
      <c r="A45" s="8" t="s">
        <v>28</v>
      </c>
      <c r="B45" s="8">
        <v>1</v>
      </c>
      <c r="C45" s="8">
        <v>242</v>
      </c>
    </row>
    <row r="46" spans="1:3" x14ac:dyDescent="0.35">
      <c r="A46" s="8" t="s">
        <v>154</v>
      </c>
      <c r="B46" s="8">
        <v>1</v>
      </c>
      <c r="C46" s="8">
        <v>231</v>
      </c>
    </row>
    <row r="47" spans="1:3" x14ac:dyDescent="0.35">
      <c r="A47" s="8" t="s">
        <v>130</v>
      </c>
      <c r="B47" s="8">
        <v>1</v>
      </c>
      <c r="C47" s="8">
        <v>170</v>
      </c>
    </row>
    <row r="48" spans="1:3" x14ac:dyDescent="0.35">
      <c r="A48" s="8" t="s">
        <v>51</v>
      </c>
      <c r="B48" s="8">
        <v>1</v>
      </c>
      <c r="C48" s="8">
        <v>161</v>
      </c>
    </row>
    <row r="49" spans="1:3" x14ac:dyDescent="0.35">
      <c r="A49" s="8" t="s">
        <v>123</v>
      </c>
      <c r="B49" s="8">
        <v>1</v>
      </c>
      <c r="C49" s="8">
        <v>158</v>
      </c>
    </row>
    <row r="50" spans="1:3" x14ac:dyDescent="0.35">
      <c r="A50" s="8" t="s">
        <v>185</v>
      </c>
      <c r="B50" s="8">
        <v>1</v>
      </c>
      <c r="C50" s="8">
        <v>85</v>
      </c>
    </row>
    <row r="51" spans="1:3" x14ac:dyDescent="0.35">
      <c r="A51" s="8" t="s">
        <v>131</v>
      </c>
      <c r="B51" s="8">
        <v>1</v>
      </c>
      <c r="C51" s="8">
        <v>63</v>
      </c>
    </row>
    <row r="52" spans="1:3" x14ac:dyDescent="0.35">
      <c r="A52" s="8" t="s">
        <v>119</v>
      </c>
      <c r="B52" s="8">
        <v>1</v>
      </c>
      <c r="C52" s="8">
        <v>60</v>
      </c>
    </row>
    <row r="53" spans="1:3" x14ac:dyDescent="0.35">
      <c r="A53" s="8" t="s">
        <v>30</v>
      </c>
      <c r="B53" s="8">
        <v>1</v>
      </c>
      <c r="C53" s="8">
        <v>48</v>
      </c>
    </row>
    <row r="54" spans="1:3" x14ac:dyDescent="0.35">
      <c r="A54" s="8" t="s">
        <v>69</v>
      </c>
      <c r="B54" s="8">
        <v>1</v>
      </c>
      <c r="C54" s="8">
        <v>23</v>
      </c>
    </row>
    <row r="55" spans="1:3" x14ac:dyDescent="0.35">
      <c r="A55" s="8" t="s">
        <v>93</v>
      </c>
      <c r="B55" s="8">
        <v>1</v>
      </c>
      <c r="C55" s="8">
        <v>12</v>
      </c>
    </row>
    <row r="56" spans="1:3" x14ac:dyDescent="0.35">
      <c r="A56" s="8" t="s">
        <v>178</v>
      </c>
      <c r="B56" s="8">
        <v>1</v>
      </c>
      <c r="C56" s="8">
        <v>11</v>
      </c>
    </row>
    <row r="57" spans="1:3" x14ac:dyDescent="0.35">
      <c r="A57" s="8" t="s">
        <v>99</v>
      </c>
      <c r="B57" s="8">
        <v>1</v>
      </c>
      <c r="C57" s="8">
        <v>11</v>
      </c>
    </row>
    <row r="58" spans="1:3" x14ac:dyDescent="0.35">
      <c r="A58" s="8" t="s">
        <v>122</v>
      </c>
      <c r="B58" s="8">
        <v>0</v>
      </c>
      <c r="C58" s="8">
        <v>7519</v>
      </c>
    </row>
    <row r="59" spans="1:3" x14ac:dyDescent="0.35">
      <c r="A59" s="8" t="s">
        <v>164</v>
      </c>
      <c r="B59" s="8">
        <v>0</v>
      </c>
      <c r="C59" s="8">
        <v>1621</v>
      </c>
    </row>
    <row r="60" spans="1:3" x14ac:dyDescent="0.35">
      <c r="A60" s="8" t="s">
        <v>53</v>
      </c>
      <c r="B60" s="8">
        <v>0</v>
      </c>
      <c r="C60" s="8">
        <v>257</v>
      </c>
    </row>
    <row r="61" spans="1:3" x14ac:dyDescent="0.35">
      <c r="A61" s="8" t="s">
        <v>108</v>
      </c>
      <c r="B61" s="8">
        <v>0</v>
      </c>
      <c r="C61" s="8">
        <v>256</v>
      </c>
    </row>
    <row r="62" spans="1:3" x14ac:dyDescent="0.35">
      <c r="A62" s="8" t="s">
        <v>117</v>
      </c>
      <c r="B62" s="8">
        <v>0</v>
      </c>
      <c r="C62" s="8">
        <v>248</v>
      </c>
    </row>
    <row r="63" spans="1:3" x14ac:dyDescent="0.35">
      <c r="A63" s="8" t="s">
        <v>50</v>
      </c>
      <c r="B63" s="8">
        <v>0</v>
      </c>
      <c r="C63" s="8">
        <v>144</v>
      </c>
    </row>
    <row r="64" spans="1:3" x14ac:dyDescent="0.35">
      <c r="A64" s="8" t="s">
        <v>210</v>
      </c>
      <c r="B64" s="8">
        <v>0</v>
      </c>
      <c r="C64" s="8">
        <v>95</v>
      </c>
    </row>
    <row r="65" spans="1:3" x14ac:dyDescent="0.35">
      <c r="A65" s="8" t="s">
        <v>105</v>
      </c>
      <c r="B65" s="8">
        <v>0</v>
      </c>
      <c r="C65" s="8">
        <v>61</v>
      </c>
    </row>
    <row r="66" spans="1:3" x14ac:dyDescent="0.35">
      <c r="A66" s="8" t="s">
        <v>65</v>
      </c>
      <c r="B66" s="8">
        <v>0</v>
      </c>
      <c r="C66" s="8">
        <v>60</v>
      </c>
    </row>
    <row r="67" spans="1:3" x14ac:dyDescent="0.35">
      <c r="A67" s="8" t="s">
        <v>140</v>
      </c>
      <c r="B67" s="8">
        <v>0</v>
      </c>
      <c r="C67" s="8">
        <v>58</v>
      </c>
    </row>
    <row r="68" spans="1:3" x14ac:dyDescent="0.35">
      <c r="A68" s="8" t="s">
        <v>137</v>
      </c>
      <c r="B68" s="8">
        <v>0</v>
      </c>
      <c r="C68" s="8">
        <v>48</v>
      </c>
    </row>
    <row r="69" spans="1:3" x14ac:dyDescent="0.35">
      <c r="A69" s="8" t="s">
        <v>92</v>
      </c>
      <c r="B69" s="8">
        <v>0</v>
      </c>
      <c r="C69" s="8">
        <v>46</v>
      </c>
    </row>
    <row r="70" spans="1:3" x14ac:dyDescent="0.35">
      <c r="A70" s="8" t="s">
        <v>171</v>
      </c>
      <c r="B70" s="8">
        <v>0</v>
      </c>
      <c r="C70" s="8">
        <v>41</v>
      </c>
    </row>
    <row r="71" spans="1:3" x14ac:dyDescent="0.35">
      <c r="A71" s="8" t="s">
        <v>34</v>
      </c>
      <c r="B71" s="8">
        <v>0</v>
      </c>
      <c r="C71" s="8">
        <v>39</v>
      </c>
    </row>
    <row r="72" spans="1:3" x14ac:dyDescent="0.35">
      <c r="A72" s="8" t="s">
        <v>182</v>
      </c>
      <c r="B72" s="8">
        <v>0</v>
      </c>
      <c r="C72" s="8">
        <v>35</v>
      </c>
    </row>
    <row r="73" spans="1:3" x14ac:dyDescent="0.35">
      <c r="A73" s="8" t="s">
        <v>103</v>
      </c>
      <c r="B73" s="8">
        <v>0</v>
      </c>
      <c r="C73" s="8">
        <v>31</v>
      </c>
    </row>
    <row r="74" spans="1:3" x14ac:dyDescent="0.35">
      <c r="A74" s="8" t="s">
        <v>275</v>
      </c>
      <c r="B74" s="8">
        <v>0</v>
      </c>
      <c r="C74" s="8">
        <v>27</v>
      </c>
    </row>
    <row r="75" spans="1:3" x14ac:dyDescent="0.35">
      <c r="A75" s="8" t="s">
        <v>60</v>
      </c>
      <c r="B75" s="8">
        <v>0</v>
      </c>
      <c r="C75" s="8">
        <v>24</v>
      </c>
    </row>
    <row r="76" spans="1:3" x14ac:dyDescent="0.35">
      <c r="A76" s="8" t="s">
        <v>63</v>
      </c>
      <c r="B76" s="8">
        <v>0</v>
      </c>
      <c r="C76" s="8">
        <v>23</v>
      </c>
    </row>
    <row r="77" spans="1:3" x14ac:dyDescent="0.35">
      <c r="A77" s="8" t="s">
        <v>85</v>
      </c>
      <c r="B77" s="8">
        <v>0</v>
      </c>
      <c r="C77" s="8">
        <v>21</v>
      </c>
    </row>
    <row r="78" spans="1:3" x14ac:dyDescent="0.35">
      <c r="A78" s="8" t="s">
        <v>66</v>
      </c>
      <c r="B78" s="8">
        <v>0</v>
      </c>
      <c r="C78" s="8">
        <v>21</v>
      </c>
    </row>
    <row r="79" spans="1:3" x14ac:dyDescent="0.35">
      <c r="A79" s="8" t="s">
        <v>276</v>
      </c>
      <c r="B79" s="8">
        <v>0</v>
      </c>
      <c r="C79" s="8">
        <v>20</v>
      </c>
    </row>
    <row r="80" spans="1:3" x14ac:dyDescent="0.35">
      <c r="A80" s="8" t="s">
        <v>143</v>
      </c>
      <c r="B80" s="8">
        <v>0</v>
      </c>
      <c r="C80" s="8">
        <v>20</v>
      </c>
    </row>
    <row r="81" spans="1:3" x14ac:dyDescent="0.35">
      <c r="A81" s="8" t="s">
        <v>277</v>
      </c>
      <c r="B81" s="8">
        <v>0</v>
      </c>
      <c r="C81" s="8">
        <v>17</v>
      </c>
    </row>
    <row r="82" spans="1:3" x14ac:dyDescent="0.35">
      <c r="A82" s="8" t="s">
        <v>90</v>
      </c>
      <c r="B82" s="8">
        <v>0</v>
      </c>
      <c r="C82" s="8">
        <v>16</v>
      </c>
    </row>
    <row r="83" spans="1:3" x14ac:dyDescent="0.35">
      <c r="A83" s="8" t="s">
        <v>205</v>
      </c>
      <c r="B83" s="8">
        <v>0</v>
      </c>
      <c r="C83" s="8">
        <v>9</v>
      </c>
    </row>
    <row r="84" spans="1:3" x14ac:dyDescent="0.35">
      <c r="A84" s="8" t="s">
        <v>167</v>
      </c>
      <c r="B84" s="8">
        <v>0</v>
      </c>
      <c r="C84" s="8">
        <v>8</v>
      </c>
    </row>
    <row r="85" spans="1:3" x14ac:dyDescent="0.35">
      <c r="A85" s="8" t="s">
        <v>206</v>
      </c>
      <c r="B85" s="8">
        <v>0</v>
      </c>
      <c r="C85" s="8">
        <v>6</v>
      </c>
    </row>
    <row r="86" spans="1:3" x14ac:dyDescent="0.35">
      <c r="A86" s="8" t="s">
        <v>278</v>
      </c>
      <c r="B86" s="8">
        <v>0</v>
      </c>
      <c r="C86" s="8">
        <v>6</v>
      </c>
    </row>
    <row r="87" spans="1:3" x14ac:dyDescent="0.35">
      <c r="A87" s="8" t="s">
        <v>128</v>
      </c>
      <c r="B87" s="8">
        <v>0</v>
      </c>
      <c r="C87" s="8">
        <v>5</v>
      </c>
    </row>
    <row r="88" spans="1:3" x14ac:dyDescent="0.35">
      <c r="A88" s="8" t="s">
        <v>213</v>
      </c>
      <c r="B88" s="8">
        <v>0</v>
      </c>
      <c r="C88" s="8">
        <v>5</v>
      </c>
    </row>
    <row r="89" spans="1:3" x14ac:dyDescent="0.35">
      <c r="A89" s="8" t="s">
        <v>199</v>
      </c>
      <c r="B89" s="8">
        <v>0</v>
      </c>
      <c r="C89" s="8">
        <v>5</v>
      </c>
    </row>
    <row r="90" spans="1:3" x14ac:dyDescent="0.35">
      <c r="A90" s="8" t="s">
        <v>192</v>
      </c>
      <c r="B90" s="8">
        <v>0</v>
      </c>
      <c r="C90" s="8">
        <v>5</v>
      </c>
    </row>
    <row r="91" spans="1:3" x14ac:dyDescent="0.35">
      <c r="A91" s="8" t="s">
        <v>87</v>
      </c>
      <c r="B91" s="8">
        <v>0</v>
      </c>
      <c r="C91" s="8">
        <v>4</v>
      </c>
    </row>
    <row r="92" spans="1:3" x14ac:dyDescent="0.35">
      <c r="A92" s="8" t="s">
        <v>153</v>
      </c>
      <c r="B92" s="8">
        <v>0</v>
      </c>
      <c r="C92" s="8">
        <v>3</v>
      </c>
    </row>
    <row r="93" spans="1:3" x14ac:dyDescent="0.35">
      <c r="A93" s="8" t="s">
        <v>215</v>
      </c>
      <c r="B93" s="8">
        <v>0</v>
      </c>
      <c r="C93" s="8">
        <v>3</v>
      </c>
    </row>
    <row r="94" spans="1:3" x14ac:dyDescent="0.35">
      <c r="A94" s="8" t="s">
        <v>160</v>
      </c>
      <c r="B94" s="8">
        <v>0</v>
      </c>
      <c r="C94" s="8">
        <v>2</v>
      </c>
    </row>
    <row r="95" spans="1:3" x14ac:dyDescent="0.35">
      <c r="A95" s="8" t="s">
        <v>279</v>
      </c>
      <c r="B95" s="8">
        <v>0</v>
      </c>
      <c r="C95" s="8">
        <v>2</v>
      </c>
    </row>
    <row r="96" spans="1:3" x14ac:dyDescent="0.35">
      <c r="A96" s="8" t="s">
        <v>280</v>
      </c>
      <c r="B96" s="8">
        <v>0</v>
      </c>
      <c r="C96" s="8">
        <v>2</v>
      </c>
    </row>
    <row r="97" spans="1:3" x14ac:dyDescent="0.35">
      <c r="A97" s="8" t="s">
        <v>281</v>
      </c>
      <c r="B97" s="8">
        <v>0</v>
      </c>
      <c r="C97" s="8">
        <v>1</v>
      </c>
    </row>
    <row r="98" spans="1:3" x14ac:dyDescent="0.35">
      <c r="A98" s="8" t="s">
        <v>282</v>
      </c>
      <c r="B98" s="8">
        <v>0</v>
      </c>
      <c r="C98" s="8">
        <v>1</v>
      </c>
    </row>
    <row r="99" spans="1:3" x14ac:dyDescent="0.35">
      <c r="A99" s="8" t="s">
        <v>176</v>
      </c>
      <c r="B99" s="8">
        <v>0</v>
      </c>
      <c r="C99" s="8">
        <v>1</v>
      </c>
    </row>
    <row r="100" spans="1:3" x14ac:dyDescent="0.35">
      <c r="A100" s="8" t="s">
        <v>125</v>
      </c>
      <c r="B100" s="8">
        <v>0</v>
      </c>
      <c r="C100" s="8">
        <v>1</v>
      </c>
    </row>
    <row r="101" spans="1:3" x14ac:dyDescent="0.35">
      <c r="A101" s="8" t="s">
        <v>283</v>
      </c>
      <c r="B101" s="8">
        <v>0</v>
      </c>
      <c r="C101" s="8">
        <v>1</v>
      </c>
    </row>
    <row r="102" spans="1:3" x14ac:dyDescent="0.35">
      <c r="A102" s="8" t="s">
        <v>209</v>
      </c>
      <c r="B102" s="8">
        <v>0</v>
      </c>
      <c r="C102" s="8">
        <v>1</v>
      </c>
    </row>
    <row r="103" spans="1:3" x14ac:dyDescent="0.35">
      <c r="A103" s="8" t="s">
        <v>284</v>
      </c>
      <c r="B103" s="8">
        <v>0</v>
      </c>
      <c r="C103" s="8">
        <v>1</v>
      </c>
    </row>
    <row r="104" spans="1:3" x14ac:dyDescent="0.35">
      <c r="A104" s="8" t="s">
        <v>285</v>
      </c>
      <c r="B104" s="8">
        <v>0</v>
      </c>
      <c r="C104" s="8">
        <v>1</v>
      </c>
    </row>
    <row r="105" spans="1:3" x14ac:dyDescent="0.35">
      <c r="A105" s="8" t="s">
        <v>286</v>
      </c>
      <c r="B105" s="8">
        <v>0</v>
      </c>
      <c r="C105" s="8">
        <v>1</v>
      </c>
    </row>
    <row r="106" spans="1:3" x14ac:dyDescent="0.35">
      <c r="A106" s="8" t="s">
        <v>287</v>
      </c>
      <c r="B106" s="8">
        <v>0</v>
      </c>
      <c r="C106" s="8">
        <v>1</v>
      </c>
    </row>
    <row r="107" spans="1:3" x14ac:dyDescent="0.35">
      <c r="A107" s="8" t="s">
        <v>288</v>
      </c>
      <c r="B107" s="8">
        <v>0</v>
      </c>
      <c r="C107" s="8">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3"/>
  <sheetViews>
    <sheetView zoomScaleNormal="100" workbookViewId="0">
      <pane ySplit="1" topLeftCell="A2" activePane="bottomLeft" state="frozen"/>
      <selection pane="bottomLeft"/>
    </sheetView>
  </sheetViews>
  <sheetFormatPr defaultColWidth="8.6328125" defaultRowHeight="14.5" x14ac:dyDescent="0.35"/>
  <cols>
    <col min="1" max="1" width="70" customWidth="1"/>
    <col min="2" max="3" width="14" customWidth="1"/>
  </cols>
  <sheetData>
    <row r="1" spans="1:3" x14ac:dyDescent="0.35">
      <c r="A1" s="20" t="s">
        <v>289</v>
      </c>
      <c r="B1" s="20" t="s">
        <v>290</v>
      </c>
      <c r="C1" s="20" t="s">
        <v>291</v>
      </c>
    </row>
    <row r="2" spans="1:3" x14ac:dyDescent="0.35">
      <c r="A2" s="8" t="s">
        <v>292</v>
      </c>
      <c r="B2" s="8">
        <v>2698</v>
      </c>
      <c r="C2" s="8">
        <v>2279</v>
      </c>
    </row>
    <row r="3" spans="1:3" x14ac:dyDescent="0.35">
      <c r="A3" s="8" t="s">
        <v>293</v>
      </c>
      <c r="B3" s="8">
        <v>372</v>
      </c>
      <c r="C3" s="8">
        <v>255</v>
      </c>
    </row>
    <row r="4" spans="1:3" x14ac:dyDescent="0.35">
      <c r="A4" s="8" t="s">
        <v>294</v>
      </c>
      <c r="B4" s="8">
        <v>276</v>
      </c>
      <c r="C4" s="8">
        <v>262</v>
      </c>
    </row>
    <row r="5" spans="1:3" x14ac:dyDescent="0.35">
      <c r="A5" s="8" t="s">
        <v>295</v>
      </c>
      <c r="B5" s="8">
        <v>274</v>
      </c>
      <c r="C5" s="8">
        <v>205</v>
      </c>
    </row>
    <row r="6" spans="1:3" x14ac:dyDescent="0.35">
      <c r="A6" s="8" t="s">
        <v>296</v>
      </c>
      <c r="B6" s="8">
        <v>227</v>
      </c>
      <c r="C6" s="8">
        <v>153</v>
      </c>
    </row>
    <row r="7" spans="1:3" x14ac:dyDescent="0.35">
      <c r="A7" s="8" t="s">
        <v>297</v>
      </c>
      <c r="B7" s="8">
        <v>224</v>
      </c>
      <c r="C7" s="8">
        <v>167</v>
      </c>
    </row>
    <row r="8" spans="1:3" x14ac:dyDescent="0.35">
      <c r="A8" s="8" t="s">
        <v>298</v>
      </c>
      <c r="B8" s="8">
        <v>211</v>
      </c>
      <c r="C8" s="8">
        <v>126</v>
      </c>
    </row>
    <row r="9" spans="1:3" x14ac:dyDescent="0.35">
      <c r="A9" s="8" t="s">
        <v>299</v>
      </c>
      <c r="B9" s="8">
        <v>176</v>
      </c>
      <c r="C9" s="8">
        <v>70</v>
      </c>
    </row>
    <row r="10" spans="1:3" x14ac:dyDescent="0.35">
      <c r="A10" s="8" t="s">
        <v>300</v>
      </c>
      <c r="B10" s="8">
        <v>137</v>
      </c>
      <c r="C10" s="8">
        <v>96</v>
      </c>
    </row>
    <row r="11" spans="1:3" x14ac:dyDescent="0.35">
      <c r="A11" s="8" t="s">
        <v>301</v>
      </c>
      <c r="B11" s="8">
        <v>118</v>
      </c>
      <c r="C11" s="8">
        <v>96</v>
      </c>
    </row>
    <row r="12" spans="1:3" x14ac:dyDescent="0.35">
      <c r="A12" s="8" t="s">
        <v>302</v>
      </c>
      <c r="B12" s="8">
        <v>106</v>
      </c>
      <c r="C12" s="8">
        <v>71</v>
      </c>
    </row>
    <row r="13" spans="1:3" x14ac:dyDescent="0.35">
      <c r="A13" s="8" t="s">
        <v>303</v>
      </c>
      <c r="B13" s="8">
        <v>100</v>
      </c>
      <c r="C13" s="8">
        <v>92</v>
      </c>
    </row>
    <row r="14" spans="1:3" x14ac:dyDescent="0.35">
      <c r="A14" s="8" t="s">
        <v>304</v>
      </c>
      <c r="B14" s="8">
        <v>76</v>
      </c>
      <c r="C14" s="8">
        <v>56</v>
      </c>
    </row>
    <row r="15" spans="1:3" x14ac:dyDescent="0.35">
      <c r="A15" s="8" t="s">
        <v>305</v>
      </c>
      <c r="B15" s="8">
        <v>73</v>
      </c>
      <c r="C15" s="8">
        <v>59</v>
      </c>
    </row>
    <row r="16" spans="1:3" x14ac:dyDescent="0.35">
      <c r="A16" s="8" t="s">
        <v>306</v>
      </c>
      <c r="B16" s="8">
        <v>73</v>
      </c>
      <c r="C16" s="8">
        <v>63</v>
      </c>
    </row>
    <row r="17" spans="1:3" x14ac:dyDescent="0.35">
      <c r="A17" s="8" t="s">
        <v>307</v>
      </c>
      <c r="B17" s="8">
        <v>73</v>
      </c>
      <c r="C17" s="8">
        <v>66</v>
      </c>
    </row>
    <row r="18" spans="1:3" x14ac:dyDescent="0.35">
      <c r="A18" s="8" t="s">
        <v>308</v>
      </c>
      <c r="B18" s="8">
        <v>71</v>
      </c>
      <c r="C18" s="8">
        <v>62</v>
      </c>
    </row>
    <row r="19" spans="1:3" x14ac:dyDescent="0.35">
      <c r="A19" s="8" t="s">
        <v>309</v>
      </c>
      <c r="B19" s="8">
        <v>67</v>
      </c>
      <c r="C19" s="8">
        <v>60</v>
      </c>
    </row>
    <row r="20" spans="1:3" x14ac:dyDescent="0.35">
      <c r="A20" s="8" t="s">
        <v>310</v>
      </c>
      <c r="B20" s="8">
        <v>66</v>
      </c>
      <c r="C20" s="8">
        <v>56</v>
      </c>
    </row>
    <row r="21" spans="1:3" x14ac:dyDescent="0.35">
      <c r="A21" s="8" t="s">
        <v>311</v>
      </c>
      <c r="B21" s="8">
        <v>65</v>
      </c>
      <c r="C21" s="8">
        <v>56</v>
      </c>
    </row>
    <row r="22" spans="1:3" x14ac:dyDescent="0.35">
      <c r="A22" s="8" t="s">
        <v>312</v>
      </c>
      <c r="B22" s="8">
        <v>62</v>
      </c>
      <c r="C22" s="8">
        <v>30</v>
      </c>
    </row>
    <row r="23" spans="1:3" x14ac:dyDescent="0.35">
      <c r="A23" s="8" t="s">
        <v>313</v>
      </c>
      <c r="B23" s="8">
        <v>61</v>
      </c>
      <c r="C23" s="8">
        <v>38</v>
      </c>
    </row>
    <row r="24" spans="1:3" x14ac:dyDescent="0.35">
      <c r="A24" s="8" t="s">
        <v>314</v>
      </c>
      <c r="B24" s="8">
        <v>60</v>
      </c>
      <c r="C24" s="8">
        <v>52</v>
      </c>
    </row>
    <row r="25" spans="1:3" x14ac:dyDescent="0.35">
      <c r="A25" s="8" t="s">
        <v>315</v>
      </c>
      <c r="B25" s="8">
        <v>55</v>
      </c>
      <c r="C25" s="8">
        <v>48</v>
      </c>
    </row>
    <row r="26" spans="1:3" x14ac:dyDescent="0.35">
      <c r="A26" s="8" t="s">
        <v>316</v>
      </c>
      <c r="B26" s="8">
        <v>54</v>
      </c>
      <c r="C26" s="8">
        <v>44</v>
      </c>
    </row>
    <row r="27" spans="1:3" x14ac:dyDescent="0.35">
      <c r="A27" s="8" t="s">
        <v>317</v>
      </c>
      <c r="B27" s="8">
        <v>49</v>
      </c>
      <c r="C27" s="8">
        <v>46</v>
      </c>
    </row>
    <row r="28" spans="1:3" x14ac:dyDescent="0.35">
      <c r="A28" s="8" t="s">
        <v>318</v>
      </c>
      <c r="B28" s="8">
        <v>48</v>
      </c>
      <c r="C28" s="8">
        <v>40</v>
      </c>
    </row>
    <row r="29" spans="1:3" x14ac:dyDescent="0.35">
      <c r="A29" s="8" t="s">
        <v>319</v>
      </c>
      <c r="B29" s="8">
        <v>47</v>
      </c>
      <c r="C29" s="8">
        <v>43</v>
      </c>
    </row>
    <row r="30" spans="1:3" x14ac:dyDescent="0.35">
      <c r="A30" s="8" t="s">
        <v>320</v>
      </c>
      <c r="B30" s="8">
        <v>46</v>
      </c>
      <c r="C30" s="8">
        <v>45</v>
      </c>
    </row>
    <row r="31" spans="1:3" x14ac:dyDescent="0.35">
      <c r="A31" s="8" t="s">
        <v>321</v>
      </c>
      <c r="B31" s="8">
        <v>45</v>
      </c>
      <c r="C31" s="8">
        <v>40</v>
      </c>
    </row>
    <row r="32" spans="1:3" x14ac:dyDescent="0.35">
      <c r="A32" s="8" t="s">
        <v>322</v>
      </c>
      <c r="B32" s="8">
        <v>38</v>
      </c>
      <c r="C32" s="8">
        <v>36</v>
      </c>
    </row>
    <row r="33" spans="1:3" x14ac:dyDescent="0.35">
      <c r="A33" s="8" t="s">
        <v>323</v>
      </c>
      <c r="B33" s="8">
        <v>37</v>
      </c>
      <c r="C33" s="8">
        <v>36</v>
      </c>
    </row>
    <row r="34" spans="1:3" x14ac:dyDescent="0.35">
      <c r="A34" s="8" t="s">
        <v>324</v>
      </c>
      <c r="B34" s="8">
        <v>34</v>
      </c>
      <c r="C34" s="8">
        <v>22</v>
      </c>
    </row>
    <row r="35" spans="1:3" x14ac:dyDescent="0.35">
      <c r="A35" s="8" t="s">
        <v>325</v>
      </c>
      <c r="B35" s="8">
        <v>33</v>
      </c>
      <c r="C35" s="8">
        <v>30</v>
      </c>
    </row>
    <row r="36" spans="1:3" x14ac:dyDescent="0.35">
      <c r="A36" s="8" t="s">
        <v>326</v>
      </c>
      <c r="B36" s="8">
        <v>32</v>
      </c>
      <c r="C36" s="8">
        <v>29</v>
      </c>
    </row>
    <row r="37" spans="1:3" x14ac:dyDescent="0.35">
      <c r="A37" s="8" t="s">
        <v>327</v>
      </c>
      <c r="B37" s="8">
        <v>31</v>
      </c>
      <c r="C37" s="8">
        <v>31</v>
      </c>
    </row>
    <row r="38" spans="1:3" x14ac:dyDescent="0.35">
      <c r="A38" s="8" t="s">
        <v>328</v>
      </c>
      <c r="B38" s="8">
        <v>31</v>
      </c>
      <c r="C38" s="8">
        <v>29</v>
      </c>
    </row>
    <row r="39" spans="1:3" x14ac:dyDescent="0.35">
      <c r="A39" s="8" t="s">
        <v>329</v>
      </c>
      <c r="B39" s="8">
        <v>28</v>
      </c>
      <c r="C39" s="8">
        <v>22</v>
      </c>
    </row>
    <row r="40" spans="1:3" x14ac:dyDescent="0.35">
      <c r="A40" s="8" t="s">
        <v>330</v>
      </c>
      <c r="B40" s="8">
        <v>27</v>
      </c>
      <c r="C40" s="8">
        <v>27</v>
      </c>
    </row>
    <row r="41" spans="1:3" x14ac:dyDescent="0.35">
      <c r="A41" s="8" t="s">
        <v>331</v>
      </c>
      <c r="B41" s="8">
        <v>27</v>
      </c>
      <c r="C41" s="8">
        <v>28</v>
      </c>
    </row>
    <row r="42" spans="1:3" x14ac:dyDescent="0.35">
      <c r="A42" s="8" t="s">
        <v>332</v>
      </c>
      <c r="B42" s="8">
        <v>26</v>
      </c>
      <c r="C42" s="8">
        <v>26</v>
      </c>
    </row>
    <row r="43" spans="1:3" x14ac:dyDescent="0.35">
      <c r="A43" s="8" t="s">
        <v>333</v>
      </c>
      <c r="B43" s="8">
        <v>26</v>
      </c>
      <c r="C43" s="8">
        <v>22</v>
      </c>
    </row>
    <row r="44" spans="1:3" x14ac:dyDescent="0.35">
      <c r="A44" s="8" t="s">
        <v>334</v>
      </c>
      <c r="B44" s="8">
        <v>25</v>
      </c>
      <c r="C44" s="8">
        <v>22</v>
      </c>
    </row>
    <row r="45" spans="1:3" x14ac:dyDescent="0.35">
      <c r="A45" s="8" t="s">
        <v>335</v>
      </c>
      <c r="B45" s="8">
        <v>21</v>
      </c>
      <c r="C45" s="8">
        <v>21</v>
      </c>
    </row>
    <row r="46" spans="1:3" x14ac:dyDescent="0.35">
      <c r="A46" s="8" t="s">
        <v>336</v>
      </c>
      <c r="B46" s="8">
        <v>21</v>
      </c>
      <c r="C46" s="8">
        <v>19</v>
      </c>
    </row>
    <row r="47" spans="1:3" x14ac:dyDescent="0.35">
      <c r="A47" s="8" t="s">
        <v>337</v>
      </c>
      <c r="B47" s="8">
        <v>21</v>
      </c>
      <c r="C47" s="8">
        <v>21</v>
      </c>
    </row>
    <row r="48" spans="1:3" x14ac:dyDescent="0.35">
      <c r="A48" s="8" t="s">
        <v>338</v>
      </c>
      <c r="B48" s="8">
        <v>18</v>
      </c>
      <c r="C48" s="8">
        <v>18</v>
      </c>
    </row>
    <row r="49" spans="1:3" x14ac:dyDescent="0.35">
      <c r="A49" s="8" t="s">
        <v>339</v>
      </c>
      <c r="B49" s="8">
        <v>17</v>
      </c>
      <c r="C49" s="8">
        <v>17</v>
      </c>
    </row>
    <row r="50" spans="1:3" x14ac:dyDescent="0.35">
      <c r="A50" s="8" t="s">
        <v>340</v>
      </c>
      <c r="B50" s="8">
        <v>17</v>
      </c>
      <c r="C50" s="8">
        <v>17</v>
      </c>
    </row>
    <row r="51" spans="1:3" x14ac:dyDescent="0.35">
      <c r="A51" s="8" t="s">
        <v>341</v>
      </c>
      <c r="B51" s="8">
        <v>16</v>
      </c>
      <c r="C51" s="8">
        <v>16</v>
      </c>
    </row>
    <row r="52" spans="1:3" x14ac:dyDescent="0.35">
      <c r="A52" s="8" t="s">
        <v>342</v>
      </c>
      <c r="B52" s="8">
        <v>16</v>
      </c>
      <c r="C52" s="8">
        <v>15</v>
      </c>
    </row>
    <row r="53" spans="1:3" x14ac:dyDescent="0.35">
      <c r="A53" s="8" t="s">
        <v>343</v>
      </c>
      <c r="B53" s="8">
        <v>16</v>
      </c>
      <c r="C53" s="8">
        <v>16</v>
      </c>
    </row>
    <row r="54" spans="1:3" x14ac:dyDescent="0.35">
      <c r="A54" s="8" t="s">
        <v>344</v>
      </c>
      <c r="B54" s="8">
        <v>16</v>
      </c>
      <c r="C54" s="8">
        <v>16</v>
      </c>
    </row>
    <row r="55" spans="1:3" x14ac:dyDescent="0.35">
      <c r="A55" s="8" t="s">
        <v>345</v>
      </c>
      <c r="B55" s="8">
        <v>15</v>
      </c>
      <c r="C55" s="8">
        <v>1</v>
      </c>
    </row>
    <row r="56" spans="1:3" x14ac:dyDescent="0.35">
      <c r="A56" s="8" t="s">
        <v>346</v>
      </c>
      <c r="B56" s="8">
        <v>14</v>
      </c>
      <c r="C56" s="8">
        <v>14</v>
      </c>
    </row>
    <row r="57" spans="1:3" x14ac:dyDescent="0.35">
      <c r="A57" s="8" t="s">
        <v>347</v>
      </c>
      <c r="B57" s="8">
        <v>14</v>
      </c>
      <c r="C57" s="8">
        <v>14</v>
      </c>
    </row>
    <row r="58" spans="1:3" x14ac:dyDescent="0.35">
      <c r="A58" s="8" t="s">
        <v>348</v>
      </c>
      <c r="B58" s="8">
        <v>12</v>
      </c>
      <c r="C58" s="8">
        <v>9</v>
      </c>
    </row>
    <row r="59" spans="1:3" x14ac:dyDescent="0.35">
      <c r="A59" s="8" t="s">
        <v>349</v>
      </c>
      <c r="B59" s="8">
        <v>12</v>
      </c>
      <c r="C59" s="8">
        <v>10</v>
      </c>
    </row>
    <row r="60" spans="1:3" x14ac:dyDescent="0.35">
      <c r="A60" s="8" t="s">
        <v>350</v>
      </c>
      <c r="B60" s="8">
        <v>12</v>
      </c>
      <c r="C60" s="8">
        <v>9</v>
      </c>
    </row>
    <row r="61" spans="1:3" x14ac:dyDescent="0.35">
      <c r="A61" s="8" t="s">
        <v>351</v>
      </c>
      <c r="B61" s="8">
        <v>11</v>
      </c>
      <c r="C61" s="8">
        <v>11</v>
      </c>
    </row>
    <row r="62" spans="1:3" x14ac:dyDescent="0.35">
      <c r="A62" s="8" t="s">
        <v>352</v>
      </c>
      <c r="B62" s="8">
        <v>11</v>
      </c>
      <c r="C62" s="8">
        <v>1</v>
      </c>
    </row>
    <row r="63" spans="1:3" x14ac:dyDescent="0.35">
      <c r="A63" s="8" t="s">
        <v>353</v>
      </c>
      <c r="B63" s="8">
        <v>10</v>
      </c>
      <c r="C63" s="8">
        <v>9</v>
      </c>
    </row>
    <row r="64" spans="1:3" x14ac:dyDescent="0.35">
      <c r="A64" s="8" t="s">
        <v>354</v>
      </c>
      <c r="B64" s="8">
        <v>9</v>
      </c>
      <c r="C64" s="8">
        <v>9</v>
      </c>
    </row>
    <row r="65" spans="1:3" x14ac:dyDescent="0.35">
      <c r="A65" s="8" t="s">
        <v>355</v>
      </c>
      <c r="B65" s="8">
        <v>9</v>
      </c>
      <c r="C65" s="8">
        <v>9</v>
      </c>
    </row>
    <row r="66" spans="1:3" x14ac:dyDescent="0.35">
      <c r="A66" s="8" t="s">
        <v>356</v>
      </c>
      <c r="B66" s="8">
        <v>9</v>
      </c>
      <c r="C66" s="8">
        <v>5</v>
      </c>
    </row>
    <row r="67" spans="1:3" x14ac:dyDescent="0.35">
      <c r="A67" s="8" t="s">
        <v>357</v>
      </c>
      <c r="B67" s="8">
        <v>8</v>
      </c>
      <c r="C67" s="8">
        <v>8</v>
      </c>
    </row>
    <row r="68" spans="1:3" x14ac:dyDescent="0.35">
      <c r="A68" s="8" t="s">
        <v>358</v>
      </c>
      <c r="B68" s="8">
        <v>8</v>
      </c>
      <c r="C68" s="8">
        <v>8</v>
      </c>
    </row>
    <row r="69" spans="1:3" x14ac:dyDescent="0.35">
      <c r="A69" s="8" t="s">
        <v>359</v>
      </c>
      <c r="B69" s="8">
        <v>8</v>
      </c>
      <c r="C69" s="8">
        <v>8</v>
      </c>
    </row>
    <row r="70" spans="1:3" x14ac:dyDescent="0.35">
      <c r="A70" s="8" t="s">
        <v>360</v>
      </c>
      <c r="B70" s="8">
        <v>7</v>
      </c>
      <c r="C70" s="8">
        <v>7</v>
      </c>
    </row>
    <row r="71" spans="1:3" x14ac:dyDescent="0.35">
      <c r="A71" s="8" t="s">
        <v>361</v>
      </c>
      <c r="B71" s="8">
        <v>7</v>
      </c>
      <c r="C71" s="8">
        <v>7</v>
      </c>
    </row>
    <row r="72" spans="1:3" x14ac:dyDescent="0.35">
      <c r="A72" s="8" t="s">
        <v>362</v>
      </c>
      <c r="B72" s="8">
        <v>7</v>
      </c>
      <c r="C72" s="8">
        <v>7</v>
      </c>
    </row>
    <row r="73" spans="1:3" x14ac:dyDescent="0.35">
      <c r="A73" s="8" t="s">
        <v>363</v>
      </c>
      <c r="B73" s="8">
        <v>7</v>
      </c>
      <c r="C73" s="8">
        <v>7</v>
      </c>
    </row>
    <row r="74" spans="1:3" x14ac:dyDescent="0.35">
      <c r="A74" s="8" t="s">
        <v>364</v>
      </c>
      <c r="B74" s="8">
        <v>5</v>
      </c>
      <c r="C74" s="8">
        <v>5</v>
      </c>
    </row>
    <row r="75" spans="1:3" x14ac:dyDescent="0.35">
      <c r="A75" s="8" t="s">
        <v>365</v>
      </c>
      <c r="B75" s="8">
        <v>5</v>
      </c>
      <c r="C75" s="8">
        <v>5</v>
      </c>
    </row>
    <row r="76" spans="1:3" x14ac:dyDescent="0.35">
      <c r="A76" s="8" t="s">
        <v>366</v>
      </c>
      <c r="B76" s="8">
        <v>5</v>
      </c>
      <c r="C76" s="8">
        <v>1</v>
      </c>
    </row>
    <row r="77" spans="1:3" x14ac:dyDescent="0.35">
      <c r="A77" s="8" t="s">
        <v>367</v>
      </c>
      <c r="B77" s="8">
        <v>4</v>
      </c>
      <c r="C77" s="8">
        <v>4</v>
      </c>
    </row>
    <row r="78" spans="1:3" x14ac:dyDescent="0.35">
      <c r="A78" s="8" t="s">
        <v>368</v>
      </c>
      <c r="B78" s="8">
        <v>4</v>
      </c>
      <c r="C78" s="8">
        <v>5</v>
      </c>
    </row>
    <row r="79" spans="1:3" x14ac:dyDescent="0.35">
      <c r="A79" s="8" t="s">
        <v>369</v>
      </c>
      <c r="B79" s="8">
        <v>4</v>
      </c>
      <c r="C79" s="8">
        <v>4</v>
      </c>
    </row>
    <row r="80" spans="1:3" x14ac:dyDescent="0.35">
      <c r="A80" s="8" t="s">
        <v>370</v>
      </c>
      <c r="B80" s="8">
        <v>4</v>
      </c>
      <c r="C80" s="8">
        <v>4</v>
      </c>
    </row>
    <row r="81" spans="1:3" x14ac:dyDescent="0.35">
      <c r="A81" s="8" t="s">
        <v>371</v>
      </c>
      <c r="B81" s="8">
        <v>4</v>
      </c>
      <c r="C81" s="8">
        <v>4</v>
      </c>
    </row>
    <row r="82" spans="1:3" x14ac:dyDescent="0.35">
      <c r="A82" s="8" t="s">
        <v>372</v>
      </c>
      <c r="B82" s="8">
        <v>4</v>
      </c>
      <c r="C82" s="8">
        <v>4</v>
      </c>
    </row>
    <row r="83" spans="1:3" x14ac:dyDescent="0.35">
      <c r="A83" s="8" t="s">
        <v>373</v>
      </c>
      <c r="B83" s="8">
        <v>3</v>
      </c>
      <c r="C83" s="8">
        <v>3</v>
      </c>
    </row>
    <row r="84" spans="1:3" x14ac:dyDescent="0.35">
      <c r="A84" s="8" t="s">
        <v>374</v>
      </c>
      <c r="B84" s="8">
        <v>3</v>
      </c>
      <c r="C84" s="8">
        <v>3</v>
      </c>
    </row>
    <row r="85" spans="1:3" x14ac:dyDescent="0.35">
      <c r="A85" s="8" t="s">
        <v>375</v>
      </c>
      <c r="B85" s="8">
        <v>3</v>
      </c>
      <c r="C85" s="8">
        <v>3</v>
      </c>
    </row>
    <row r="86" spans="1:3" x14ac:dyDescent="0.35">
      <c r="A86" s="8" t="s">
        <v>376</v>
      </c>
      <c r="B86" s="8">
        <v>3</v>
      </c>
      <c r="C86" s="8">
        <v>3</v>
      </c>
    </row>
    <row r="87" spans="1:3" x14ac:dyDescent="0.35">
      <c r="A87" s="8" t="s">
        <v>377</v>
      </c>
      <c r="B87" s="8">
        <v>3</v>
      </c>
      <c r="C87" s="8">
        <v>3</v>
      </c>
    </row>
    <row r="88" spans="1:3" x14ac:dyDescent="0.35">
      <c r="A88" s="8" t="s">
        <v>378</v>
      </c>
      <c r="B88" s="8">
        <v>3</v>
      </c>
      <c r="C88" s="8">
        <v>3</v>
      </c>
    </row>
    <row r="89" spans="1:3" x14ac:dyDescent="0.35">
      <c r="A89" s="8" t="s">
        <v>379</v>
      </c>
      <c r="B89" s="8">
        <v>3</v>
      </c>
      <c r="C89" s="8">
        <v>3</v>
      </c>
    </row>
    <row r="90" spans="1:3" x14ac:dyDescent="0.35">
      <c r="A90" s="8" t="s">
        <v>380</v>
      </c>
      <c r="B90" s="8">
        <v>3</v>
      </c>
      <c r="C90" s="8">
        <v>3</v>
      </c>
    </row>
    <row r="91" spans="1:3" x14ac:dyDescent="0.35">
      <c r="A91" s="8" t="s">
        <v>381</v>
      </c>
      <c r="B91" s="8">
        <v>3</v>
      </c>
      <c r="C91" s="8">
        <v>1</v>
      </c>
    </row>
    <row r="92" spans="1:3" x14ac:dyDescent="0.35">
      <c r="A92" s="8" t="s">
        <v>382</v>
      </c>
      <c r="B92" s="8">
        <v>3</v>
      </c>
      <c r="C92" s="8">
        <v>3</v>
      </c>
    </row>
    <row r="93" spans="1:3" x14ac:dyDescent="0.35">
      <c r="A93" s="8" t="s">
        <v>383</v>
      </c>
      <c r="B93" s="8">
        <v>3</v>
      </c>
      <c r="C93" s="8">
        <v>3</v>
      </c>
    </row>
    <row r="94" spans="1:3" x14ac:dyDescent="0.35">
      <c r="A94" s="8" t="s">
        <v>384</v>
      </c>
      <c r="B94" s="8">
        <v>2</v>
      </c>
      <c r="C94" s="8">
        <v>2</v>
      </c>
    </row>
    <row r="95" spans="1:3" x14ac:dyDescent="0.35">
      <c r="A95" s="8" t="s">
        <v>385</v>
      </c>
      <c r="B95" s="8">
        <v>2</v>
      </c>
      <c r="C95" s="8">
        <v>1</v>
      </c>
    </row>
    <row r="96" spans="1:3" x14ac:dyDescent="0.35">
      <c r="A96" s="8" t="s">
        <v>386</v>
      </c>
      <c r="B96" s="8">
        <v>2</v>
      </c>
      <c r="C96" s="8">
        <v>2</v>
      </c>
    </row>
    <row r="97" spans="1:3" x14ac:dyDescent="0.35">
      <c r="A97" s="8" t="s">
        <v>387</v>
      </c>
      <c r="B97" s="8">
        <v>2</v>
      </c>
      <c r="C97" s="8">
        <v>2</v>
      </c>
    </row>
    <row r="98" spans="1:3" x14ac:dyDescent="0.35">
      <c r="A98" s="8" t="s">
        <v>388</v>
      </c>
      <c r="B98" s="8">
        <v>2</v>
      </c>
      <c r="C98" s="8">
        <v>2</v>
      </c>
    </row>
    <row r="99" spans="1:3" x14ac:dyDescent="0.35">
      <c r="A99" s="8" t="s">
        <v>389</v>
      </c>
      <c r="B99" s="8">
        <v>2</v>
      </c>
      <c r="C99" s="8">
        <v>1</v>
      </c>
    </row>
    <row r="100" spans="1:3" x14ac:dyDescent="0.35">
      <c r="A100" s="8" t="s">
        <v>390</v>
      </c>
      <c r="B100" s="8">
        <v>2</v>
      </c>
      <c r="C100" s="8">
        <v>2</v>
      </c>
    </row>
    <row r="101" spans="1:3" x14ac:dyDescent="0.35">
      <c r="A101" s="8" t="s">
        <v>391</v>
      </c>
      <c r="B101" s="8">
        <v>2</v>
      </c>
      <c r="C101" s="8">
        <v>2</v>
      </c>
    </row>
    <row r="102" spans="1:3" x14ac:dyDescent="0.35">
      <c r="A102" s="8" t="s">
        <v>392</v>
      </c>
      <c r="B102" s="8">
        <v>2</v>
      </c>
      <c r="C102" s="8">
        <v>2</v>
      </c>
    </row>
    <row r="103" spans="1:3" x14ac:dyDescent="0.35">
      <c r="A103" s="8" t="s">
        <v>393</v>
      </c>
      <c r="B103" s="8">
        <v>2</v>
      </c>
      <c r="C103" s="8">
        <v>2</v>
      </c>
    </row>
    <row r="104" spans="1:3" x14ac:dyDescent="0.35">
      <c r="A104" s="8" t="s">
        <v>394</v>
      </c>
      <c r="B104" s="8">
        <v>2</v>
      </c>
      <c r="C104" s="8">
        <v>2</v>
      </c>
    </row>
    <row r="105" spans="1:3" x14ac:dyDescent="0.35">
      <c r="A105" s="8" t="s">
        <v>395</v>
      </c>
      <c r="B105" s="8">
        <v>2</v>
      </c>
      <c r="C105" s="8">
        <v>1</v>
      </c>
    </row>
    <row r="106" spans="1:3" x14ac:dyDescent="0.35">
      <c r="A106" s="8" t="s">
        <v>396</v>
      </c>
      <c r="B106" s="8">
        <v>2</v>
      </c>
      <c r="C106" s="8">
        <v>2</v>
      </c>
    </row>
    <row r="107" spans="1:3" x14ac:dyDescent="0.35">
      <c r="A107" s="8" t="s">
        <v>397</v>
      </c>
      <c r="B107" s="8">
        <v>2</v>
      </c>
      <c r="C107" s="8">
        <v>2</v>
      </c>
    </row>
    <row r="108" spans="1:3" x14ac:dyDescent="0.35">
      <c r="A108" s="8" t="s">
        <v>398</v>
      </c>
      <c r="B108" s="8">
        <v>1</v>
      </c>
      <c r="C108" s="8">
        <v>1</v>
      </c>
    </row>
    <row r="109" spans="1:3" x14ac:dyDescent="0.35">
      <c r="A109" s="8" t="s">
        <v>399</v>
      </c>
      <c r="B109" s="8">
        <v>1</v>
      </c>
      <c r="C109" s="8">
        <v>1</v>
      </c>
    </row>
    <row r="110" spans="1:3" x14ac:dyDescent="0.35">
      <c r="A110" s="8" t="s">
        <v>400</v>
      </c>
      <c r="B110" s="8">
        <v>1</v>
      </c>
      <c r="C110" s="8">
        <v>1</v>
      </c>
    </row>
    <row r="111" spans="1:3" x14ac:dyDescent="0.35">
      <c r="A111" s="8" t="s">
        <v>401</v>
      </c>
      <c r="B111" s="8">
        <v>1</v>
      </c>
      <c r="C111" s="8">
        <v>1</v>
      </c>
    </row>
    <row r="112" spans="1:3" x14ac:dyDescent="0.35">
      <c r="A112" s="8" t="s">
        <v>402</v>
      </c>
      <c r="B112" s="8">
        <v>1</v>
      </c>
      <c r="C112" s="8">
        <v>1</v>
      </c>
    </row>
    <row r="113" spans="1:3" x14ac:dyDescent="0.35">
      <c r="A113" s="8" t="s">
        <v>403</v>
      </c>
      <c r="B113" s="8">
        <v>1</v>
      </c>
      <c r="C113" s="8">
        <v>1</v>
      </c>
    </row>
    <row r="114" spans="1:3" x14ac:dyDescent="0.35">
      <c r="A114" s="8" t="s">
        <v>404</v>
      </c>
      <c r="B114" s="8">
        <v>1</v>
      </c>
      <c r="C114" s="8">
        <v>1</v>
      </c>
    </row>
    <row r="115" spans="1:3" x14ac:dyDescent="0.35">
      <c r="A115" s="8" t="s">
        <v>405</v>
      </c>
      <c r="B115" s="8">
        <v>1</v>
      </c>
      <c r="C115" s="8">
        <v>1</v>
      </c>
    </row>
    <row r="116" spans="1:3" x14ac:dyDescent="0.35">
      <c r="A116" s="8" t="s">
        <v>406</v>
      </c>
      <c r="B116" s="8">
        <v>1</v>
      </c>
      <c r="C116" s="8">
        <v>1</v>
      </c>
    </row>
    <row r="117" spans="1:3" x14ac:dyDescent="0.35">
      <c r="A117" s="8" t="s">
        <v>407</v>
      </c>
      <c r="B117" s="8">
        <v>1</v>
      </c>
      <c r="C117" s="8">
        <v>1</v>
      </c>
    </row>
    <row r="118" spans="1:3" x14ac:dyDescent="0.35">
      <c r="A118" s="8" t="s">
        <v>408</v>
      </c>
      <c r="B118" s="8">
        <v>1</v>
      </c>
      <c r="C118" s="8">
        <v>1</v>
      </c>
    </row>
    <row r="119" spans="1:3" x14ac:dyDescent="0.35">
      <c r="A119" s="8" t="s">
        <v>409</v>
      </c>
      <c r="B119" s="8">
        <v>1</v>
      </c>
      <c r="C119" s="8">
        <v>1</v>
      </c>
    </row>
    <row r="120" spans="1:3" x14ac:dyDescent="0.35">
      <c r="A120" s="8" t="s">
        <v>410</v>
      </c>
      <c r="B120" s="8">
        <v>1</v>
      </c>
      <c r="C120" s="8">
        <v>1</v>
      </c>
    </row>
    <row r="121" spans="1:3" x14ac:dyDescent="0.35">
      <c r="A121" s="8" t="s">
        <v>411</v>
      </c>
      <c r="B121" s="8">
        <v>1</v>
      </c>
      <c r="C121" s="8">
        <v>1</v>
      </c>
    </row>
    <row r="122" spans="1:3" x14ac:dyDescent="0.35">
      <c r="A122" s="8" t="s">
        <v>412</v>
      </c>
      <c r="B122" s="8">
        <v>1</v>
      </c>
      <c r="C122" s="8">
        <v>1</v>
      </c>
    </row>
    <row r="123" spans="1:3" x14ac:dyDescent="0.35">
      <c r="A123" s="8" t="s">
        <v>413</v>
      </c>
      <c r="B123" s="8">
        <v>1</v>
      </c>
      <c r="C123" s="8">
        <v>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Content Map</vt:lpstr>
      <vt:lpstr>Summary</vt:lpstr>
      <vt:lpstr>Guide</vt:lpstr>
      <vt:lpstr>GSC</vt:lpstr>
      <vt:lpstr>GA4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Jan Hewitt</cp:lastModifiedBy>
  <cp:revision>0</cp:revision>
  <dcterms:created xsi:type="dcterms:W3CDTF">2026-09-28T15:19:10Z</dcterms:created>
  <dcterms:modified xsi:type="dcterms:W3CDTF">2026-09-29T12:47:11Z</dcterms:modified>
  <dc:language>en-US</dc:language>
</cp:coreProperties>
</file>